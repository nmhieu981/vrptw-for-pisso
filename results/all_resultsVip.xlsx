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rptw-for-pisso\results\"/>
    </mc:Choice>
  </mc:AlternateContent>
  <xr:revisionPtr revIDLastSave="0" documentId="13_ncr:1_{7CBF0840-D4D4-406B-B0F1-4A1EB18F55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2" i="1"/>
</calcChain>
</file>

<file path=xl/sharedStrings.xml><?xml version="1.0" encoding="utf-8"?>
<sst xmlns="http://schemas.openxmlformats.org/spreadsheetml/2006/main" count="126" uniqueCount="126">
  <si>
    <t>Instance</t>
  </si>
  <si>
    <t>Z1(Vehicles)</t>
  </si>
  <si>
    <t>Z2(Distance)</t>
  </si>
  <si>
    <t>Z3(WaitTime)</t>
  </si>
  <si>
    <t>Z4(LoadBal)</t>
  </si>
  <si>
    <t>Z5(Makespan)</t>
  </si>
  <si>
    <t>PF_Size</t>
  </si>
  <si>
    <t>Generations</t>
  </si>
  <si>
    <t>Runtime(s)</t>
  </si>
  <si>
    <t>C104</t>
  </si>
  <si>
    <t>C204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</si>
  <si>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</si>
  <si>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</si>
  <si>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</si>
  <si>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</si>
  <si>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</si>
  <si>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</si>
  <si>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</si>
  <si>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</si>
  <si>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</si>
  <si>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</si>
  <si>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</si>
  <si>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</si>
  <si>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</si>
  <si>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</si>
  <si>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</si>
  <si>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</si>
  <si>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</si>
  <si>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</si>
  <si>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</si>
  <si>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</si>
  <si>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</si>
  <si>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</si>
  <si>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</si>
  <si>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</si>
  <si>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</si>
  <si>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</si>
  <si>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</si>
  <si>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</si>
  <si>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</si>
  <si>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</si>
  <si>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</si>
  <si>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</si>
  <si>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</si>
  <si>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</si>
  <si>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</si>
  <si>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</si>
  <si>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</si>
  <si>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</si>
  <si>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</si>
  <si>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C101</t>
  </si>
  <si>
    <t>C102</t>
  </si>
  <si>
    <t>C103</t>
  </si>
  <si>
    <t>C105</t>
  </si>
  <si>
    <t>C106</t>
  </si>
  <si>
    <t>C107</t>
  </si>
  <si>
    <t>C108</t>
  </si>
  <si>
    <t>C109</t>
  </si>
  <si>
    <t>C201</t>
  </si>
  <si>
    <t>C202</t>
  </si>
  <si>
    <t>C203</t>
  </si>
  <si>
    <t>C205</t>
  </si>
  <si>
    <t>C206</t>
  </si>
  <si>
    <t>C207</t>
  </si>
  <si>
    <t>C208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</si>
  <si>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</si>
  <si>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</si>
  <si>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</si>
  <si>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</si>
  <si>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</si>
  <si>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</si>
  <si>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</si>
  <si>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</si>
  <si>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</si>
  <si>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</si>
  <si>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</si>
  <si>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</si>
  <si>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</si>
  <si>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</si>
  <si>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</si>
  <si>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</si>
  <si>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</si>
  <si>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</si>
  <si>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</si>
  <si>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</si>
  <si>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</si>
  <si>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</si>
  <si>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</si>
  <si>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</si>
  <si>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</si>
  <si>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</si>
  <si>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</si>
  <si>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</si>
  <si>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</si>
  <si>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</si>
  <si>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</si>
  <si>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</si>
  <si>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</si>
  <si>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r205b</t>
  </si>
  <si>
    <t>r206</t>
  </si>
  <si>
    <t>r207</t>
  </si>
  <si>
    <t>r208</t>
  </si>
  <si>
    <t>r209</t>
  </si>
  <si>
    <t>r210</t>
  </si>
  <si>
    <t>r211</t>
  </si>
  <si>
    <t>rc101b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</si>
  <si>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</si>
  <si>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</si>
  <si>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</si>
  <si>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</si>
  <si>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</si>
  <si>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</si>
  <si>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</si>
  <si>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</si>
  <si>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</si>
  <si>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</si>
  <si>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</si>
  <si>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</si>
  <si>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</si>
  <si>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</si>
  <si>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</si>
  <si>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Kết quả trên web</t>
  </si>
  <si>
    <t>B2-M2</t>
  </si>
  <si>
    <t>C2-N2</t>
  </si>
  <si>
    <t>HCGA NV</t>
  </si>
  <si>
    <t>HCGA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</si>
</sst>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workbookViewId="0">
      <selection activeCell="C2" sqref="C2:C18"/>
    </sheetView>
  </sheetViews>
  <sheetFormatPr defaultRowHeight="15" x14ac:dyDescent="0.25"/>
  <cols>
    <col min="1" max="1" width="8.42578125" bestFit="1" customWidth="1"/>
    <col min="2" max="3" width="12" bestFit="1" customWidth="1"/>
    <col min="4" max="4" width="13.140625" bestFit="1" customWidth="1"/>
    <col min="5" max="5" width="11.28515625" bestFit="1" customWidth="1"/>
    <col min="6" max="6" width="13.5703125" bestFit="1" customWidth="1"/>
    <col min="7" max="7" width="7.7109375" bestFit="1" customWidth="1"/>
    <col min="8" max="8" width="11.85546875" bestFit="1" customWidth="1"/>
    <col min="9" max="9" width="10.85546875" bestFit="1" customWidth="1"/>
    <col min="12" max="12" width="6.7109375" bestFit="1" customWidth="1"/>
    <col min="13" max="13" width="3" bestFit="1" customWidth="1"/>
    <col min="14" max="14" width="8" bestFit="1" customWidth="1"/>
    <col min="16" max="16" width="6.5703125" bestFit="1" customWidth="1"/>
    <col min="17" max="17" width="7.7109375" bestFit="1" customWidth="1"/>
  </cols>
  <sheetData>
    <row r="1" spans="1:24" ht="27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2" t="s">
        <v>121</v>
      </c>
      <c r="M1" s="2"/>
      <c r="N1" s="2"/>
      <c r="P1" t="s">
        <v>122</v>
      </c>
      <c r="Q1" t="s">
        <v>123</v>
      </c>
      <c r="T1" s="3" t="s">
        <v>124</v>
      </c>
      <c r="U1" s="3" t="s">
        <v>125</v>
      </c>
    </row>
    <row r="2" spans="1:24" ht="15.75" thickBot="1" x14ac:dyDescent="0.3">
      <c r="A2" t="s">
        <v>50</v>
      </c>
      <c r="B2">
        <v>10</v>
      </c>
      <c r="C2">
        <v>828.94</v>
      </c>
      <c r="D2">
        <v>0</v>
      </c>
      <c r="E2">
        <v>50</v>
      </c>
      <c r="F2">
        <v>1234.81</v>
      </c>
      <c r="G2">
        <v>203</v>
      </c>
      <c r="H2">
        <v>107</v>
      </c>
      <c r="I2">
        <v>612.29999999999995</v>
      </c>
      <c r="L2" t="s">
        <v>65</v>
      </c>
      <c r="M2">
        <v>10</v>
      </c>
      <c r="N2">
        <v>828.94</v>
      </c>
      <c r="P2">
        <f>B2-M2</f>
        <v>0</v>
      </c>
      <c r="Q2">
        <f>C2-N2</f>
        <v>0</v>
      </c>
      <c r="T2" s="4">
        <v>10</v>
      </c>
      <c r="U2" s="3">
        <v>828.94</v>
      </c>
      <c r="W2">
        <f>B2-T2</f>
        <v>0</v>
      </c>
      <c r="X2">
        <f>C2-U2</f>
        <v>0</v>
      </c>
    </row>
    <row r="3" spans="1:24" ht="15.75" thickBot="1" x14ac:dyDescent="0.3">
      <c r="A3" t="s">
        <v>51</v>
      </c>
      <c r="B3">
        <v>10</v>
      </c>
      <c r="C3">
        <v>828.94</v>
      </c>
      <c r="D3">
        <v>0</v>
      </c>
      <c r="E3">
        <v>50</v>
      </c>
      <c r="F3">
        <v>1234.81</v>
      </c>
      <c r="G3">
        <v>205</v>
      </c>
      <c r="H3">
        <v>72</v>
      </c>
      <c r="I3">
        <v>616.5</v>
      </c>
      <c r="L3" t="s">
        <v>66</v>
      </c>
      <c r="M3">
        <v>10</v>
      </c>
      <c r="N3">
        <v>828.94</v>
      </c>
      <c r="P3">
        <f t="shared" ref="P3:P57" si="0">B3-M3</f>
        <v>0</v>
      </c>
      <c r="Q3">
        <f t="shared" ref="Q3:Q34" si="1">C3-N3</f>
        <v>0</v>
      </c>
      <c r="T3" s="4">
        <v>10</v>
      </c>
      <c r="U3" s="3">
        <v>828.94</v>
      </c>
      <c r="W3">
        <f t="shared" ref="W3:W57" si="2">B3-T3</f>
        <v>0</v>
      </c>
      <c r="X3">
        <f t="shared" ref="X3:X57" si="3">C3-U3</f>
        <v>0</v>
      </c>
    </row>
    <row r="4" spans="1:24" ht="15.75" thickBot="1" x14ac:dyDescent="0.3">
      <c r="A4" t="s">
        <v>52</v>
      </c>
      <c r="B4">
        <v>10</v>
      </c>
      <c r="C4">
        <v>828.06</v>
      </c>
      <c r="D4">
        <v>69.41</v>
      </c>
      <c r="E4">
        <v>50</v>
      </c>
      <c r="F4">
        <v>1234.81</v>
      </c>
      <c r="G4">
        <v>248</v>
      </c>
      <c r="H4">
        <v>80</v>
      </c>
      <c r="I4">
        <v>621.70000000000005</v>
      </c>
      <c r="L4" t="s">
        <v>67</v>
      </c>
      <c r="M4">
        <v>10</v>
      </c>
      <c r="N4">
        <v>828.06</v>
      </c>
      <c r="P4">
        <f t="shared" si="0"/>
        <v>0</v>
      </c>
      <c r="Q4">
        <f t="shared" si="1"/>
        <v>0</v>
      </c>
      <c r="T4" s="4">
        <v>10</v>
      </c>
      <c r="U4" s="3">
        <v>828.94</v>
      </c>
      <c r="W4">
        <f t="shared" si="2"/>
        <v>0</v>
      </c>
      <c r="X4">
        <f t="shared" si="3"/>
        <v>-0.88000000000010914</v>
      </c>
    </row>
    <row r="5" spans="1:24" ht="15.75" thickBot="1" x14ac:dyDescent="0.3">
      <c r="A5" t="s">
        <v>9</v>
      </c>
      <c r="B5">
        <v>10</v>
      </c>
      <c r="C5">
        <v>824.78</v>
      </c>
      <c r="D5">
        <v>129.27000000000001</v>
      </c>
      <c r="E5">
        <v>50</v>
      </c>
      <c r="F5">
        <v>1234.81</v>
      </c>
      <c r="G5">
        <v>264</v>
      </c>
      <c r="H5">
        <v>57</v>
      </c>
      <c r="I5">
        <v>618.20000000000005</v>
      </c>
      <c r="L5" t="s">
        <v>68</v>
      </c>
      <c r="M5">
        <v>10</v>
      </c>
      <c r="N5">
        <v>824.78</v>
      </c>
      <c r="P5">
        <f t="shared" si="0"/>
        <v>0</v>
      </c>
      <c r="Q5">
        <f t="shared" si="1"/>
        <v>0</v>
      </c>
      <c r="T5" s="4">
        <v>10</v>
      </c>
      <c r="U5" s="3">
        <v>852.43</v>
      </c>
      <c r="W5">
        <f t="shared" si="2"/>
        <v>0</v>
      </c>
      <c r="X5">
        <f t="shared" si="3"/>
        <v>-27.649999999999977</v>
      </c>
    </row>
    <row r="6" spans="1:24" ht="15.75" thickBot="1" x14ac:dyDescent="0.3">
      <c r="A6" t="s">
        <v>53</v>
      </c>
      <c r="B6">
        <v>10</v>
      </c>
      <c r="C6">
        <v>828.94</v>
      </c>
      <c r="D6">
        <v>0</v>
      </c>
      <c r="E6">
        <v>50</v>
      </c>
      <c r="F6">
        <v>1234.81</v>
      </c>
      <c r="G6">
        <v>262</v>
      </c>
      <c r="H6">
        <v>75</v>
      </c>
      <c r="I6">
        <v>617</v>
      </c>
      <c r="L6" t="s">
        <v>69</v>
      </c>
      <c r="M6">
        <v>10</v>
      </c>
      <c r="N6">
        <v>828.94</v>
      </c>
      <c r="P6">
        <f t="shared" si="0"/>
        <v>0</v>
      </c>
      <c r="Q6">
        <f t="shared" si="1"/>
        <v>0</v>
      </c>
      <c r="T6" s="4">
        <v>10</v>
      </c>
      <c r="U6" s="3">
        <v>828.94</v>
      </c>
      <c r="W6">
        <f t="shared" si="2"/>
        <v>0</v>
      </c>
      <c r="X6">
        <f t="shared" si="3"/>
        <v>0</v>
      </c>
    </row>
    <row r="7" spans="1:24" ht="15.75" thickBot="1" x14ac:dyDescent="0.3">
      <c r="A7" t="s">
        <v>54</v>
      </c>
      <c r="B7">
        <v>10</v>
      </c>
      <c r="C7">
        <v>828.94</v>
      </c>
      <c r="D7">
        <v>0</v>
      </c>
      <c r="E7">
        <v>50</v>
      </c>
      <c r="F7">
        <v>1234.81</v>
      </c>
      <c r="G7">
        <v>259</v>
      </c>
      <c r="H7">
        <v>120</v>
      </c>
      <c r="I7">
        <v>614.70000000000005</v>
      </c>
      <c r="L7" t="s">
        <v>70</v>
      </c>
      <c r="M7">
        <v>10</v>
      </c>
      <c r="N7">
        <v>828.94</v>
      </c>
      <c r="P7">
        <f t="shared" si="0"/>
        <v>0</v>
      </c>
      <c r="Q7">
        <f t="shared" si="1"/>
        <v>0</v>
      </c>
      <c r="T7" s="4">
        <v>10</v>
      </c>
      <c r="U7" s="3">
        <v>828.94</v>
      </c>
      <c r="W7">
        <f t="shared" si="2"/>
        <v>0</v>
      </c>
      <c r="X7">
        <f t="shared" si="3"/>
        <v>0</v>
      </c>
    </row>
    <row r="8" spans="1:24" ht="15.75" thickBot="1" x14ac:dyDescent="0.3">
      <c r="A8" t="s">
        <v>55</v>
      </c>
      <c r="B8">
        <v>10</v>
      </c>
      <c r="C8">
        <v>828.94</v>
      </c>
      <c r="D8">
        <v>0</v>
      </c>
      <c r="E8">
        <v>50</v>
      </c>
      <c r="F8">
        <v>1234.81</v>
      </c>
      <c r="G8">
        <v>307</v>
      </c>
      <c r="H8">
        <v>130</v>
      </c>
      <c r="I8">
        <v>611.5</v>
      </c>
      <c r="L8" t="s">
        <v>71</v>
      </c>
      <c r="M8">
        <v>10</v>
      </c>
      <c r="N8">
        <v>828.94</v>
      </c>
      <c r="P8">
        <f t="shared" si="0"/>
        <v>0</v>
      </c>
      <c r="Q8">
        <f t="shared" si="1"/>
        <v>0</v>
      </c>
      <c r="T8" s="4">
        <v>10</v>
      </c>
      <c r="U8" s="3">
        <v>828.94</v>
      </c>
      <c r="W8">
        <f t="shared" si="2"/>
        <v>0</v>
      </c>
      <c r="X8">
        <f t="shared" si="3"/>
        <v>0</v>
      </c>
    </row>
    <row r="9" spans="1:24" ht="15.75" thickBot="1" x14ac:dyDescent="0.3">
      <c r="A9" t="s">
        <v>56</v>
      </c>
      <c r="B9">
        <v>10</v>
      </c>
      <c r="C9">
        <v>828.94</v>
      </c>
      <c r="D9">
        <v>0</v>
      </c>
      <c r="E9">
        <v>50</v>
      </c>
      <c r="F9">
        <v>1234.81</v>
      </c>
      <c r="G9">
        <v>296</v>
      </c>
      <c r="H9">
        <v>80</v>
      </c>
      <c r="I9">
        <v>620</v>
      </c>
      <c r="L9" t="s">
        <v>72</v>
      </c>
      <c r="M9">
        <v>10</v>
      </c>
      <c r="N9">
        <v>828.94</v>
      </c>
      <c r="P9">
        <f t="shared" si="0"/>
        <v>0</v>
      </c>
      <c r="Q9">
        <f t="shared" si="1"/>
        <v>0</v>
      </c>
      <c r="T9" s="4">
        <v>10</v>
      </c>
      <c r="U9" s="3">
        <v>828.94</v>
      </c>
      <c r="W9">
        <f t="shared" si="2"/>
        <v>0</v>
      </c>
      <c r="X9">
        <f t="shared" si="3"/>
        <v>0</v>
      </c>
    </row>
    <row r="10" spans="1:24" ht="15.75" thickBot="1" x14ac:dyDescent="0.3">
      <c r="A10" t="s">
        <v>57</v>
      </c>
      <c r="B10">
        <v>10</v>
      </c>
      <c r="C10">
        <v>828.94</v>
      </c>
      <c r="D10">
        <v>0</v>
      </c>
      <c r="E10">
        <v>50</v>
      </c>
      <c r="F10">
        <v>1234.81</v>
      </c>
      <c r="G10">
        <v>287</v>
      </c>
      <c r="H10">
        <v>66</v>
      </c>
      <c r="I10">
        <v>621</v>
      </c>
      <c r="L10" t="s">
        <v>73</v>
      </c>
      <c r="M10">
        <v>10</v>
      </c>
      <c r="N10">
        <v>828.94</v>
      </c>
      <c r="P10">
        <f t="shared" si="0"/>
        <v>0</v>
      </c>
      <c r="Q10">
        <f t="shared" si="1"/>
        <v>0</v>
      </c>
      <c r="T10" s="4">
        <v>10</v>
      </c>
      <c r="U10" s="3">
        <v>828.94</v>
      </c>
      <c r="W10">
        <f t="shared" si="2"/>
        <v>0</v>
      </c>
      <c r="X10">
        <f t="shared" si="3"/>
        <v>0</v>
      </c>
    </row>
    <row r="11" spans="1:24" ht="15.75" thickBot="1" x14ac:dyDescent="0.3">
      <c r="A11" t="s">
        <v>58</v>
      </c>
      <c r="B11">
        <v>3</v>
      </c>
      <c r="C11">
        <v>591.55999999999995</v>
      </c>
      <c r="D11">
        <v>0</v>
      </c>
      <c r="E11">
        <v>70</v>
      </c>
      <c r="F11">
        <v>3388.21</v>
      </c>
      <c r="G11">
        <v>239</v>
      </c>
      <c r="H11">
        <v>37</v>
      </c>
      <c r="I11">
        <v>630.6</v>
      </c>
      <c r="L11" t="s">
        <v>74</v>
      </c>
      <c r="M11">
        <v>3</v>
      </c>
      <c r="N11">
        <v>591.55999999999995</v>
      </c>
      <c r="P11">
        <f t="shared" si="0"/>
        <v>0</v>
      </c>
      <c r="Q11">
        <f t="shared" si="1"/>
        <v>0</v>
      </c>
      <c r="T11" s="4">
        <v>3</v>
      </c>
      <c r="U11" s="3">
        <v>591.55999999999995</v>
      </c>
      <c r="W11">
        <f t="shared" si="2"/>
        <v>0</v>
      </c>
      <c r="X11">
        <f t="shared" si="3"/>
        <v>0</v>
      </c>
    </row>
    <row r="12" spans="1:24" ht="15.75" thickBot="1" x14ac:dyDescent="0.3">
      <c r="A12" t="s">
        <v>59</v>
      </c>
      <c r="B12">
        <v>3</v>
      </c>
      <c r="C12">
        <v>591.55999999999995</v>
      </c>
      <c r="D12">
        <v>0</v>
      </c>
      <c r="E12">
        <v>70</v>
      </c>
      <c r="F12">
        <v>3388.21</v>
      </c>
      <c r="G12">
        <v>236</v>
      </c>
      <c r="H12">
        <v>28</v>
      </c>
      <c r="I12">
        <v>622.70000000000005</v>
      </c>
      <c r="L12" t="s">
        <v>75</v>
      </c>
      <c r="M12">
        <v>3</v>
      </c>
      <c r="N12">
        <v>591.55999999999995</v>
      </c>
      <c r="P12">
        <f t="shared" si="0"/>
        <v>0</v>
      </c>
      <c r="Q12">
        <f t="shared" si="1"/>
        <v>0</v>
      </c>
      <c r="T12" s="4">
        <v>4</v>
      </c>
      <c r="U12" s="3">
        <v>640.72</v>
      </c>
      <c r="W12">
        <f t="shared" si="2"/>
        <v>-1</v>
      </c>
      <c r="X12">
        <f t="shared" si="3"/>
        <v>-49.160000000000082</v>
      </c>
    </row>
    <row r="13" spans="1:24" ht="15.75" thickBot="1" x14ac:dyDescent="0.3">
      <c r="A13" t="s">
        <v>60</v>
      </c>
      <c r="B13">
        <v>3</v>
      </c>
      <c r="C13">
        <v>591.16999999999996</v>
      </c>
      <c r="D13">
        <v>10.54</v>
      </c>
      <c r="E13">
        <v>70</v>
      </c>
      <c r="F13">
        <v>3388.21</v>
      </c>
      <c r="G13">
        <v>281</v>
      </c>
      <c r="H13">
        <v>39</v>
      </c>
      <c r="I13">
        <v>621.4</v>
      </c>
      <c r="L13" t="s">
        <v>76</v>
      </c>
      <c r="M13">
        <v>3</v>
      </c>
      <c r="N13">
        <v>591.16999999999996</v>
      </c>
      <c r="P13">
        <f t="shared" si="0"/>
        <v>0</v>
      </c>
      <c r="Q13">
        <f t="shared" si="1"/>
        <v>0</v>
      </c>
      <c r="T13" s="4">
        <v>4</v>
      </c>
      <c r="U13" s="3">
        <v>641.57000000000005</v>
      </c>
      <c r="W13">
        <f t="shared" si="2"/>
        <v>-1</v>
      </c>
      <c r="X13">
        <f t="shared" si="3"/>
        <v>-50.400000000000091</v>
      </c>
    </row>
    <row r="14" spans="1:24" ht="15.75" thickBot="1" x14ac:dyDescent="0.3">
      <c r="A14" t="s">
        <v>10</v>
      </c>
      <c r="B14">
        <v>3</v>
      </c>
      <c r="C14">
        <v>590.6</v>
      </c>
      <c r="D14">
        <v>0</v>
      </c>
      <c r="E14">
        <v>70</v>
      </c>
      <c r="F14">
        <v>3388.21</v>
      </c>
      <c r="G14">
        <v>296</v>
      </c>
      <c r="H14">
        <v>33</v>
      </c>
      <c r="I14">
        <v>620.5</v>
      </c>
      <c r="L14" t="s">
        <v>77</v>
      </c>
      <c r="M14">
        <v>3</v>
      </c>
      <c r="N14">
        <v>590.6</v>
      </c>
      <c r="P14">
        <f t="shared" si="0"/>
        <v>0</v>
      </c>
      <c r="Q14">
        <f t="shared" si="1"/>
        <v>0</v>
      </c>
      <c r="T14" s="4">
        <v>4</v>
      </c>
      <c r="U14" s="3">
        <v>650.07000000000005</v>
      </c>
      <c r="W14">
        <f t="shared" si="2"/>
        <v>-1</v>
      </c>
      <c r="X14">
        <f t="shared" si="3"/>
        <v>-59.470000000000027</v>
      </c>
    </row>
    <row r="15" spans="1:24" ht="15.75" thickBot="1" x14ac:dyDescent="0.3">
      <c r="A15" t="s">
        <v>61</v>
      </c>
      <c r="B15">
        <v>3</v>
      </c>
      <c r="C15">
        <v>588.88</v>
      </c>
      <c r="D15">
        <v>0</v>
      </c>
      <c r="E15">
        <v>70</v>
      </c>
      <c r="F15">
        <v>3385.53</v>
      </c>
      <c r="G15">
        <v>367</v>
      </c>
      <c r="H15">
        <v>50</v>
      </c>
      <c r="I15">
        <v>630.4</v>
      </c>
      <c r="L15" t="s">
        <v>78</v>
      </c>
      <c r="M15">
        <v>3</v>
      </c>
      <c r="N15">
        <v>588.88</v>
      </c>
      <c r="P15">
        <f t="shared" si="0"/>
        <v>0</v>
      </c>
      <c r="Q15">
        <f t="shared" si="1"/>
        <v>0</v>
      </c>
      <c r="T15" s="4">
        <v>3</v>
      </c>
      <c r="U15" s="3">
        <v>588.88</v>
      </c>
      <c r="W15">
        <f t="shared" si="2"/>
        <v>0</v>
      </c>
      <c r="X15">
        <f t="shared" si="3"/>
        <v>0</v>
      </c>
    </row>
    <row r="16" spans="1:24" ht="15.75" thickBot="1" x14ac:dyDescent="0.3">
      <c r="A16" t="s">
        <v>62</v>
      </c>
      <c r="B16">
        <v>3</v>
      </c>
      <c r="C16">
        <v>588.49</v>
      </c>
      <c r="D16">
        <v>0</v>
      </c>
      <c r="E16">
        <v>70</v>
      </c>
      <c r="F16">
        <v>3385.53</v>
      </c>
      <c r="G16">
        <v>299</v>
      </c>
      <c r="H16">
        <v>38</v>
      </c>
      <c r="I16">
        <v>638.70000000000005</v>
      </c>
      <c r="L16" t="s">
        <v>79</v>
      </c>
      <c r="M16">
        <v>3</v>
      </c>
      <c r="N16">
        <v>588.49</v>
      </c>
      <c r="P16">
        <f t="shared" si="0"/>
        <v>0</v>
      </c>
      <c r="Q16">
        <f t="shared" si="1"/>
        <v>0</v>
      </c>
      <c r="T16" s="4">
        <v>3</v>
      </c>
      <c r="U16" s="3">
        <v>588.49</v>
      </c>
      <c r="W16">
        <f t="shared" si="2"/>
        <v>0</v>
      </c>
      <c r="X16">
        <f t="shared" si="3"/>
        <v>0</v>
      </c>
    </row>
    <row r="17" spans="1:24" ht="15.75" thickBot="1" x14ac:dyDescent="0.3">
      <c r="A17" t="s">
        <v>63</v>
      </c>
      <c r="B17">
        <v>3</v>
      </c>
      <c r="C17">
        <v>588.29</v>
      </c>
      <c r="D17">
        <v>72.12</v>
      </c>
      <c r="E17">
        <v>70</v>
      </c>
      <c r="F17">
        <v>3385.53</v>
      </c>
      <c r="G17">
        <v>325</v>
      </c>
      <c r="H17">
        <v>63</v>
      </c>
      <c r="I17">
        <v>620</v>
      </c>
      <c r="L17" t="s">
        <v>80</v>
      </c>
      <c r="M17">
        <v>3</v>
      </c>
      <c r="N17">
        <v>588.29</v>
      </c>
      <c r="P17">
        <f t="shared" si="0"/>
        <v>0</v>
      </c>
      <c r="Q17">
        <f t="shared" si="1"/>
        <v>0</v>
      </c>
      <c r="T17" s="4">
        <v>3</v>
      </c>
      <c r="U17" s="3">
        <v>588.29</v>
      </c>
      <c r="W17">
        <f t="shared" si="2"/>
        <v>0</v>
      </c>
      <c r="X17">
        <f t="shared" si="3"/>
        <v>0</v>
      </c>
    </row>
    <row r="18" spans="1:24" ht="15.75" thickBot="1" x14ac:dyDescent="0.3">
      <c r="A18" t="s">
        <v>64</v>
      </c>
      <c r="B18">
        <v>3</v>
      </c>
      <c r="C18">
        <v>588.32000000000005</v>
      </c>
      <c r="D18">
        <v>155.91</v>
      </c>
      <c r="E18">
        <v>70</v>
      </c>
      <c r="F18">
        <v>3385.53</v>
      </c>
      <c r="G18">
        <v>268</v>
      </c>
      <c r="H18">
        <v>34</v>
      </c>
      <c r="I18">
        <v>635</v>
      </c>
      <c r="L18" t="s">
        <v>81</v>
      </c>
      <c r="M18">
        <v>3</v>
      </c>
      <c r="N18">
        <v>588.32000000000005</v>
      </c>
      <c r="P18">
        <f t="shared" si="0"/>
        <v>0</v>
      </c>
      <c r="Q18">
        <f t="shared" si="1"/>
        <v>0</v>
      </c>
      <c r="T18" s="4">
        <v>3</v>
      </c>
      <c r="U18" s="3">
        <v>588.32000000000005</v>
      </c>
      <c r="W18">
        <f t="shared" si="2"/>
        <v>0</v>
      </c>
      <c r="X18">
        <f t="shared" si="3"/>
        <v>0</v>
      </c>
    </row>
    <row r="19" spans="1:24" ht="15.75" thickBot="1" x14ac:dyDescent="0.3">
      <c r="A19" t="s">
        <v>11</v>
      </c>
      <c r="B19">
        <v>20</v>
      </c>
      <c r="C19">
        <v>1646.6</v>
      </c>
      <c r="D19">
        <v>966</v>
      </c>
      <c r="E19">
        <v>146</v>
      </c>
      <c r="F19">
        <v>219.06</v>
      </c>
      <c r="G19">
        <v>378</v>
      </c>
      <c r="H19">
        <v>188</v>
      </c>
      <c r="I19">
        <v>611.6</v>
      </c>
      <c r="L19" t="s">
        <v>82</v>
      </c>
      <c r="M19">
        <v>19</v>
      </c>
      <c r="N19">
        <v>1650.8</v>
      </c>
      <c r="P19">
        <f t="shared" si="0"/>
        <v>1</v>
      </c>
      <c r="Q19" s="1">
        <f t="shared" si="1"/>
        <v>-4.2000000000000455</v>
      </c>
      <c r="T19" s="4">
        <v>19</v>
      </c>
      <c r="U19" s="4">
        <v>1684.09</v>
      </c>
      <c r="W19">
        <f t="shared" si="2"/>
        <v>1</v>
      </c>
      <c r="X19">
        <f t="shared" si="3"/>
        <v>-37.490000000000009</v>
      </c>
    </row>
    <row r="20" spans="1:24" ht="15.75" thickBot="1" x14ac:dyDescent="0.3">
      <c r="A20" t="s">
        <v>12</v>
      </c>
      <c r="B20">
        <v>18</v>
      </c>
      <c r="C20">
        <v>1472.81</v>
      </c>
      <c r="D20">
        <v>935.45</v>
      </c>
      <c r="E20">
        <v>139</v>
      </c>
      <c r="F20">
        <v>229.09</v>
      </c>
      <c r="G20">
        <v>398</v>
      </c>
      <c r="H20">
        <v>124</v>
      </c>
      <c r="I20">
        <v>613.4</v>
      </c>
      <c r="L20" t="s">
        <v>83</v>
      </c>
      <c r="M20">
        <v>17</v>
      </c>
      <c r="N20">
        <v>1486.12</v>
      </c>
      <c r="P20">
        <f t="shared" si="0"/>
        <v>1</v>
      </c>
      <c r="Q20" s="1">
        <f t="shared" si="1"/>
        <v>-13.309999999999945</v>
      </c>
      <c r="T20" s="4">
        <v>18</v>
      </c>
      <c r="U20" s="3">
        <v>1506.9</v>
      </c>
      <c r="W20">
        <f t="shared" si="2"/>
        <v>0</v>
      </c>
      <c r="X20">
        <f t="shared" si="3"/>
        <v>-34.090000000000146</v>
      </c>
    </row>
    <row r="21" spans="1:24" ht="15.75" thickBot="1" x14ac:dyDescent="0.3">
      <c r="A21" t="s">
        <v>13</v>
      </c>
      <c r="B21">
        <v>14</v>
      </c>
      <c r="C21">
        <v>1257.6500000000001</v>
      </c>
      <c r="D21">
        <v>546.20000000000005</v>
      </c>
      <c r="E21">
        <v>156</v>
      </c>
      <c r="F21">
        <v>229.04</v>
      </c>
      <c r="G21">
        <v>398</v>
      </c>
      <c r="H21">
        <v>99</v>
      </c>
      <c r="I21">
        <v>618.79999999999995</v>
      </c>
      <c r="L21" t="s">
        <v>84</v>
      </c>
      <c r="M21">
        <v>13</v>
      </c>
      <c r="N21">
        <v>1292.68</v>
      </c>
      <c r="P21">
        <f t="shared" si="0"/>
        <v>1</v>
      </c>
      <c r="Q21" s="1">
        <f t="shared" si="1"/>
        <v>-35.029999999999973</v>
      </c>
      <c r="T21" s="4">
        <v>15</v>
      </c>
      <c r="U21" s="3">
        <v>1282.67</v>
      </c>
      <c r="W21">
        <f t="shared" si="2"/>
        <v>-1</v>
      </c>
      <c r="X21">
        <f t="shared" si="3"/>
        <v>-25.019999999999982</v>
      </c>
    </row>
    <row r="22" spans="1:24" ht="15.75" thickBot="1" x14ac:dyDescent="0.3">
      <c r="A22" t="s">
        <v>14</v>
      </c>
      <c r="B22">
        <v>12</v>
      </c>
      <c r="C22">
        <v>1017.5</v>
      </c>
      <c r="D22">
        <v>420.72</v>
      </c>
      <c r="E22">
        <v>165</v>
      </c>
      <c r="F22">
        <v>229.39</v>
      </c>
      <c r="G22">
        <v>400</v>
      </c>
      <c r="H22">
        <v>158</v>
      </c>
      <c r="I22">
        <v>620.5</v>
      </c>
      <c r="L22" t="s">
        <v>85</v>
      </c>
      <c r="M22">
        <v>9</v>
      </c>
      <c r="N22">
        <v>1007.31</v>
      </c>
      <c r="P22">
        <f t="shared" si="0"/>
        <v>3</v>
      </c>
      <c r="Q22">
        <f t="shared" si="1"/>
        <v>10.190000000000055</v>
      </c>
      <c r="T22" s="4">
        <v>12</v>
      </c>
      <c r="U22" s="3">
        <v>1077.9100000000001</v>
      </c>
      <c r="W22">
        <f t="shared" si="2"/>
        <v>0</v>
      </c>
      <c r="X22">
        <f t="shared" si="3"/>
        <v>-60.410000000000082</v>
      </c>
    </row>
    <row r="23" spans="1:24" ht="15.75" thickBot="1" x14ac:dyDescent="0.3">
      <c r="A23" t="s">
        <v>15</v>
      </c>
      <c r="B23">
        <v>16</v>
      </c>
      <c r="C23">
        <v>1393.89</v>
      </c>
      <c r="D23">
        <v>478.33</v>
      </c>
      <c r="E23">
        <v>115</v>
      </c>
      <c r="F23">
        <v>227.25</v>
      </c>
      <c r="G23">
        <v>400</v>
      </c>
      <c r="H23">
        <v>168</v>
      </c>
      <c r="I23">
        <v>611.70000000000005</v>
      </c>
      <c r="L23" t="s">
        <v>86</v>
      </c>
      <c r="M23">
        <v>14</v>
      </c>
      <c r="N23">
        <v>1377.11</v>
      </c>
      <c r="P23">
        <f t="shared" si="0"/>
        <v>2</v>
      </c>
      <c r="Q23">
        <f t="shared" si="1"/>
        <v>16.7800000000002</v>
      </c>
      <c r="T23" s="4">
        <v>16</v>
      </c>
      <c r="U23" s="3">
        <v>1439.46</v>
      </c>
      <c r="W23">
        <f t="shared" si="2"/>
        <v>0</v>
      </c>
      <c r="X23">
        <f t="shared" si="3"/>
        <v>-45.569999999999936</v>
      </c>
    </row>
    <row r="24" spans="1:24" ht="15.75" thickBot="1" x14ac:dyDescent="0.3">
      <c r="A24" t="s">
        <v>16</v>
      </c>
      <c r="B24">
        <v>13</v>
      </c>
      <c r="C24">
        <v>1252.99</v>
      </c>
      <c r="D24">
        <v>228.43</v>
      </c>
      <c r="E24">
        <v>130</v>
      </c>
      <c r="F24">
        <v>228.5</v>
      </c>
      <c r="G24">
        <v>399</v>
      </c>
      <c r="H24">
        <v>155</v>
      </c>
      <c r="I24">
        <v>614.20000000000005</v>
      </c>
      <c r="L24" t="s">
        <v>87</v>
      </c>
      <c r="M24">
        <v>12</v>
      </c>
      <c r="N24">
        <v>1252.03</v>
      </c>
      <c r="P24">
        <f t="shared" si="0"/>
        <v>1</v>
      </c>
      <c r="Q24">
        <f t="shared" si="1"/>
        <v>0.96000000000003638</v>
      </c>
      <c r="T24" s="4">
        <v>13</v>
      </c>
      <c r="U24" s="3">
        <v>1307.79</v>
      </c>
      <c r="W24">
        <f t="shared" si="2"/>
        <v>0</v>
      </c>
      <c r="X24">
        <f t="shared" si="3"/>
        <v>-54.799999999999955</v>
      </c>
    </row>
    <row r="25" spans="1:24" ht="15.75" thickBot="1" x14ac:dyDescent="0.3">
      <c r="A25" t="s">
        <v>17</v>
      </c>
      <c r="B25">
        <v>12</v>
      </c>
      <c r="C25">
        <v>1093.8399999999999</v>
      </c>
      <c r="D25">
        <v>318.17</v>
      </c>
      <c r="E25">
        <v>165</v>
      </c>
      <c r="F25">
        <v>227.83</v>
      </c>
      <c r="G25">
        <v>398</v>
      </c>
      <c r="H25">
        <v>196</v>
      </c>
      <c r="I25">
        <v>616</v>
      </c>
      <c r="L25" t="s">
        <v>88</v>
      </c>
      <c r="M25">
        <v>10</v>
      </c>
      <c r="N25">
        <v>1104.6600000000001</v>
      </c>
      <c r="P25">
        <f t="shared" si="0"/>
        <v>2</v>
      </c>
      <c r="Q25" s="1">
        <f t="shared" si="1"/>
        <v>-10.820000000000164</v>
      </c>
      <c r="T25" s="4">
        <v>12</v>
      </c>
      <c r="U25" s="4">
        <v>1210.02</v>
      </c>
      <c r="W25">
        <f t="shared" si="2"/>
        <v>0</v>
      </c>
      <c r="X25">
        <f t="shared" si="3"/>
        <v>-116.18000000000006</v>
      </c>
    </row>
    <row r="26" spans="1:24" ht="15.75" thickBot="1" x14ac:dyDescent="0.3">
      <c r="A26" t="s">
        <v>18</v>
      </c>
      <c r="B26">
        <v>10</v>
      </c>
      <c r="C26">
        <v>958.1</v>
      </c>
      <c r="D26">
        <v>206.04</v>
      </c>
      <c r="E26">
        <v>91</v>
      </c>
      <c r="F26">
        <v>229.72</v>
      </c>
      <c r="G26">
        <v>399</v>
      </c>
      <c r="H26">
        <v>165</v>
      </c>
      <c r="I26">
        <v>614.9</v>
      </c>
      <c r="L26" t="s">
        <v>89</v>
      </c>
      <c r="M26">
        <v>9</v>
      </c>
      <c r="N26">
        <v>960.88</v>
      </c>
      <c r="P26">
        <f t="shared" si="0"/>
        <v>1</v>
      </c>
      <c r="Q26" s="1">
        <f t="shared" si="1"/>
        <v>-2.7799999999999727</v>
      </c>
      <c r="T26" s="4">
        <v>10</v>
      </c>
      <c r="U26" s="3">
        <v>999.12</v>
      </c>
      <c r="W26">
        <f t="shared" si="2"/>
        <v>0</v>
      </c>
      <c r="X26">
        <f t="shared" si="3"/>
        <v>-41.019999999999982</v>
      </c>
    </row>
    <row r="27" spans="1:24" ht="15.75" thickBot="1" x14ac:dyDescent="0.3">
      <c r="A27" t="s">
        <v>19</v>
      </c>
      <c r="B27">
        <v>12</v>
      </c>
      <c r="C27">
        <v>1154.04</v>
      </c>
      <c r="D27">
        <v>198.16</v>
      </c>
      <c r="E27">
        <v>116</v>
      </c>
      <c r="F27">
        <v>227.22</v>
      </c>
      <c r="G27">
        <v>400</v>
      </c>
      <c r="H27">
        <v>196</v>
      </c>
      <c r="I27">
        <v>612.79999999999995</v>
      </c>
      <c r="L27" t="s">
        <v>90</v>
      </c>
      <c r="M27">
        <v>11</v>
      </c>
      <c r="N27">
        <v>1194.73</v>
      </c>
      <c r="P27">
        <f t="shared" si="0"/>
        <v>1</v>
      </c>
      <c r="Q27" s="1">
        <f t="shared" si="1"/>
        <v>-40.690000000000055</v>
      </c>
      <c r="T27" s="4">
        <v>14</v>
      </c>
      <c r="U27" s="3">
        <v>1272.8399999999999</v>
      </c>
      <c r="W27">
        <f t="shared" si="2"/>
        <v>-2</v>
      </c>
      <c r="X27">
        <f t="shared" si="3"/>
        <v>-118.79999999999995</v>
      </c>
    </row>
    <row r="28" spans="1:24" ht="15.75" thickBot="1" x14ac:dyDescent="0.3">
      <c r="A28" t="s">
        <v>20</v>
      </c>
      <c r="B28">
        <v>13</v>
      </c>
      <c r="C28">
        <v>1135.0999999999999</v>
      </c>
      <c r="D28">
        <v>351.17</v>
      </c>
      <c r="E28">
        <v>139</v>
      </c>
      <c r="F28">
        <v>217.32</v>
      </c>
      <c r="G28">
        <v>398</v>
      </c>
      <c r="H28">
        <v>162</v>
      </c>
      <c r="I28">
        <v>611.6</v>
      </c>
      <c r="L28" t="s">
        <v>91</v>
      </c>
      <c r="M28">
        <v>10</v>
      </c>
      <c r="N28">
        <v>1118.8399999999999</v>
      </c>
      <c r="P28">
        <f t="shared" si="0"/>
        <v>3</v>
      </c>
      <c r="Q28">
        <f t="shared" si="1"/>
        <v>16.259999999999991</v>
      </c>
      <c r="T28" s="4">
        <v>13</v>
      </c>
      <c r="U28" s="3">
        <v>1177.21</v>
      </c>
      <c r="W28">
        <f t="shared" si="2"/>
        <v>0</v>
      </c>
      <c r="X28">
        <f t="shared" si="3"/>
        <v>-42.110000000000127</v>
      </c>
    </row>
    <row r="29" spans="1:24" ht="15.75" thickBot="1" x14ac:dyDescent="0.3">
      <c r="A29" t="s">
        <v>21</v>
      </c>
      <c r="B29">
        <v>12</v>
      </c>
      <c r="C29">
        <v>1071.6400000000001</v>
      </c>
      <c r="D29">
        <v>335.24</v>
      </c>
      <c r="E29">
        <v>165</v>
      </c>
      <c r="F29">
        <v>228.89</v>
      </c>
      <c r="G29">
        <v>397</v>
      </c>
      <c r="H29">
        <v>219</v>
      </c>
      <c r="I29">
        <v>611.79999999999995</v>
      </c>
      <c r="L29" t="s">
        <v>92</v>
      </c>
      <c r="M29">
        <v>10</v>
      </c>
      <c r="N29">
        <v>1096.72</v>
      </c>
      <c r="P29">
        <f t="shared" si="0"/>
        <v>2</v>
      </c>
      <c r="Q29" s="1">
        <f t="shared" si="1"/>
        <v>-25.079999999999927</v>
      </c>
      <c r="T29" s="4">
        <v>13</v>
      </c>
      <c r="U29" s="3">
        <v>1169.22</v>
      </c>
      <c r="W29">
        <f t="shared" si="2"/>
        <v>-1</v>
      </c>
      <c r="X29">
        <f t="shared" si="3"/>
        <v>-97.579999999999927</v>
      </c>
    </row>
    <row r="30" spans="1:24" ht="15.75" thickBot="1" x14ac:dyDescent="0.3">
      <c r="A30" t="s">
        <v>22</v>
      </c>
      <c r="B30">
        <v>11</v>
      </c>
      <c r="C30">
        <v>993.68</v>
      </c>
      <c r="D30">
        <v>171.15</v>
      </c>
      <c r="E30">
        <v>97</v>
      </c>
      <c r="F30">
        <v>229.13</v>
      </c>
      <c r="G30">
        <v>400</v>
      </c>
      <c r="H30">
        <v>155</v>
      </c>
      <c r="I30">
        <v>610.70000000000005</v>
      </c>
      <c r="L30" t="s">
        <v>93</v>
      </c>
      <c r="M30">
        <v>9</v>
      </c>
      <c r="N30">
        <v>982.14</v>
      </c>
      <c r="P30">
        <f t="shared" si="0"/>
        <v>2</v>
      </c>
      <c r="Q30">
        <f t="shared" si="1"/>
        <v>11.539999999999964</v>
      </c>
      <c r="T30" s="4">
        <v>10</v>
      </c>
      <c r="U30" s="3">
        <v>993.29</v>
      </c>
      <c r="W30">
        <f t="shared" si="2"/>
        <v>1</v>
      </c>
      <c r="X30">
        <f t="shared" si="3"/>
        <v>0.38999999999998636</v>
      </c>
    </row>
    <row r="31" spans="1:24" ht="15.75" thickBot="1" x14ac:dyDescent="0.3">
      <c r="A31" t="s">
        <v>23</v>
      </c>
      <c r="B31">
        <v>6</v>
      </c>
      <c r="C31">
        <v>1189.74</v>
      </c>
      <c r="D31">
        <v>2790.06</v>
      </c>
      <c r="E31">
        <v>201</v>
      </c>
      <c r="F31">
        <v>907.63</v>
      </c>
      <c r="G31">
        <v>399</v>
      </c>
      <c r="H31">
        <v>124</v>
      </c>
      <c r="I31">
        <v>614.5</v>
      </c>
      <c r="L31" t="s">
        <v>94</v>
      </c>
      <c r="M31">
        <v>4</v>
      </c>
      <c r="N31">
        <v>1252.3699999999999</v>
      </c>
      <c r="P31">
        <f t="shared" si="0"/>
        <v>2</v>
      </c>
      <c r="Q31" s="1">
        <f t="shared" si="1"/>
        <v>-62.629999999999882</v>
      </c>
      <c r="T31" s="4">
        <v>4</v>
      </c>
      <c r="U31" s="3">
        <v>1253.8800000000001</v>
      </c>
      <c r="W31">
        <f t="shared" si="2"/>
        <v>2</v>
      </c>
      <c r="X31">
        <f t="shared" si="3"/>
        <v>-64.1400000000001</v>
      </c>
    </row>
    <row r="32" spans="1:24" ht="15.75" thickBot="1" x14ac:dyDescent="0.3">
      <c r="A32" t="s">
        <v>24</v>
      </c>
      <c r="B32">
        <v>4</v>
      </c>
      <c r="C32">
        <v>1147.47</v>
      </c>
      <c r="D32">
        <v>1278.68</v>
      </c>
      <c r="E32">
        <v>134</v>
      </c>
      <c r="F32">
        <v>933.52</v>
      </c>
      <c r="G32">
        <v>398</v>
      </c>
      <c r="H32">
        <v>127</v>
      </c>
      <c r="I32">
        <v>617.70000000000005</v>
      </c>
      <c r="L32" t="s">
        <v>95</v>
      </c>
      <c r="M32">
        <v>3</v>
      </c>
      <c r="N32">
        <v>1191.7</v>
      </c>
      <c r="P32">
        <f t="shared" si="0"/>
        <v>1</v>
      </c>
      <c r="Q32" s="1">
        <f t="shared" si="1"/>
        <v>-44.230000000000018</v>
      </c>
      <c r="T32" s="4">
        <v>4</v>
      </c>
      <c r="U32" s="3">
        <v>1135.71</v>
      </c>
      <c r="W32">
        <f t="shared" si="2"/>
        <v>0</v>
      </c>
      <c r="X32">
        <f t="shared" si="3"/>
        <v>11.759999999999991</v>
      </c>
    </row>
    <row r="33" spans="1:24" ht="15.75" thickBot="1" x14ac:dyDescent="0.3">
      <c r="A33" t="s">
        <v>25</v>
      </c>
      <c r="B33">
        <v>4</v>
      </c>
      <c r="C33">
        <v>910.76</v>
      </c>
      <c r="D33">
        <v>1756.06</v>
      </c>
      <c r="E33">
        <v>225</v>
      </c>
      <c r="F33">
        <v>997.1</v>
      </c>
      <c r="G33">
        <v>400</v>
      </c>
      <c r="H33">
        <v>90</v>
      </c>
      <c r="I33">
        <v>621.29999999999995</v>
      </c>
      <c r="L33" t="s">
        <v>96</v>
      </c>
      <c r="M33">
        <v>3</v>
      </c>
      <c r="N33">
        <v>939.5</v>
      </c>
      <c r="P33">
        <f t="shared" si="0"/>
        <v>1</v>
      </c>
      <c r="Q33" s="1">
        <f t="shared" si="1"/>
        <v>-28.740000000000009</v>
      </c>
      <c r="T33" s="4">
        <v>3</v>
      </c>
      <c r="U33" s="3">
        <v>962.98</v>
      </c>
      <c r="W33">
        <f t="shared" si="2"/>
        <v>1</v>
      </c>
      <c r="X33">
        <f t="shared" si="3"/>
        <v>-52.220000000000027</v>
      </c>
    </row>
    <row r="34" spans="1:24" ht="15.75" thickBot="1" x14ac:dyDescent="0.3">
      <c r="A34" t="s">
        <v>26</v>
      </c>
      <c r="B34">
        <v>3</v>
      </c>
      <c r="C34">
        <v>774.85</v>
      </c>
      <c r="D34">
        <v>820.62</v>
      </c>
      <c r="E34">
        <v>25</v>
      </c>
      <c r="F34">
        <v>972.96</v>
      </c>
      <c r="G34">
        <v>398</v>
      </c>
      <c r="H34">
        <v>80</v>
      </c>
      <c r="I34">
        <v>617.79999999999995</v>
      </c>
      <c r="L34" t="s">
        <v>97</v>
      </c>
      <c r="M34">
        <v>2</v>
      </c>
      <c r="N34">
        <v>825.52</v>
      </c>
      <c r="P34">
        <f t="shared" si="0"/>
        <v>1</v>
      </c>
      <c r="Q34" s="1">
        <f t="shared" si="1"/>
        <v>-50.669999999999959</v>
      </c>
      <c r="T34" s="4">
        <v>6</v>
      </c>
      <c r="U34" s="3">
        <v>768.33</v>
      </c>
      <c r="W34">
        <f t="shared" si="2"/>
        <v>-3</v>
      </c>
      <c r="X34">
        <f t="shared" si="3"/>
        <v>6.5199999999999818</v>
      </c>
    </row>
    <row r="35" spans="1:24" ht="15.75" thickBot="1" x14ac:dyDescent="0.3">
      <c r="A35" t="s">
        <v>27</v>
      </c>
      <c r="B35">
        <v>4</v>
      </c>
      <c r="C35">
        <v>998.23</v>
      </c>
      <c r="D35">
        <v>1258.06</v>
      </c>
      <c r="E35">
        <v>205</v>
      </c>
      <c r="F35">
        <v>844.01</v>
      </c>
      <c r="G35">
        <v>396</v>
      </c>
      <c r="H35">
        <v>106</v>
      </c>
      <c r="I35">
        <v>618.6</v>
      </c>
      <c r="L35" t="s">
        <v>98</v>
      </c>
      <c r="M35">
        <v>3</v>
      </c>
      <c r="N35">
        <v>994.43</v>
      </c>
      <c r="P35">
        <f t="shared" si="0"/>
        <v>1</v>
      </c>
      <c r="Q35">
        <f t="shared" ref="Q35:Q57" si="4">C35-N35</f>
        <v>3.8000000000000682</v>
      </c>
      <c r="T35" s="4">
        <v>4</v>
      </c>
      <c r="U35" s="3">
        <v>1025.97</v>
      </c>
      <c r="W35">
        <f t="shared" si="2"/>
        <v>0</v>
      </c>
      <c r="X35">
        <f t="shared" si="3"/>
        <v>-27.740000000000009</v>
      </c>
    </row>
    <row r="36" spans="1:24" ht="15.75" thickBot="1" x14ac:dyDescent="0.3">
      <c r="A36" t="s">
        <v>28</v>
      </c>
      <c r="B36">
        <v>4</v>
      </c>
      <c r="C36">
        <v>950.96</v>
      </c>
      <c r="D36">
        <v>1185.4100000000001</v>
      </c>
      <c r="E36">
        <v>148</v>
      </c>
      <c r="F36">
        <v>896.76</v>
      </c>
      <c r="G36">
        <v>400</v>
      </c>
      <c r="H36">
        <v>86</v>
      </c>
      <c r="I36">
        <v>620.9</v>
      </c>
      <c r="L36" t="s">
        <v>99</v>
      </c>
      <c r="M36">
        <v>3</v>
      </c>
      <c r="N36">
        <v>906.14</v>
      </c>
      <c r="P36">
        <f t="shared" si="0"/>
        <v>1</v>
      </c>
      <c r="Q36">
        <f t="shared" si="4"/>
        <v>44.82000000000005</v>
      </c>
      <c r="T36" s="4">
        <v>5</v>
      </c>
      <c r="U36" s="3">
        <v>976.28</v>
      </c>
      <c r="W36">
        <f t="shared" si="2"/>
        <v>-1</v>
      </c>
      <c r="X36">
        <f t="shared" si="3"/>
        <v>-25.319999999999936</v>
      </c>
    </row>
    <row r="37" spans="1:24" ht="15.75" thickBot="1" x14ac:dyDescent="0.3">
      <c r="A37" t="s">
        <v>29</v>
      </c>
      <c r="B37">
        <v>4</v>
      </c>
      <c r="C37">
        <v>851.89</v>
      </c>
      <c r="D37">
        <v>1212.53</v>
      </c>
      <c r="E37">
        <v>110</v>
      </c>
      <c r="F37">
        <v>862.55</v>
      </c>
      <c r="G37">
        <v>399</v>
      </c>
      <c r="H37">
        <v>95</v>
      </c>
      <c r="I37">
        <v>619.29999999999995</v>
      </c>
      <c r="L37" t="s">
        <v>100</v>
      </c>
      <c r="M37">
        <v>2</v>
      </c>
      <c r="N37">
        <v>890.61</v>
      </c>
      <c r="P37">
        <f t="shared" si="0"/>
        <v>2</v>
      </c>
      <c r="Q37" s="1">
        <f t="shared" si="4"/>
        <v>-38.720000000000027</v>
      </c>
      <c r="T37" s="4">
        <v>5</v>
      </c>
      <c r="U37" s="3">
        <v>874.32</v>
      </c>
      <c r="W37">
        <f t="shared" si="2"/>
        <v>-1</v>
      </c>
      <c r="X37">
        <f t="shared" si="3"/>
        <v>-22.430000000000064</v>
      </c>
    </row>
    <row r="38" spans="1:24" ht="15.75" thickBot="1" x14ac:dyDescent="0.3">
      <c r="A38" t="s">
        <v>30</v>
      </c>
      <c r="B38">
        <v>3</v>
      </c>
      <c r="C38">
        <v>737.56</v>
      </c>
      <c r="D38">
        <v>535.78</v>
      </c>
      <c r="E38">
        <v>310</v>
      </c>
      <c r="F38">
        <v>933.88</v>
      </c>
      <c r="G38">
        <v>400</v>
      </c>
      <c r="H38">
        <v>80</v>
      </c>
      <c r="I38">
        <v>620.20000000000005</v>
      </c>
      <c r="L38" t="s">
        <v>101</v>
      </c>
      <c r="M38">
        <v>2</v>
      </c>
      <c r="N38">
        <v>726.82</v>
      </c>
      <c r="P38">
        <f t="shared" si="0"/>
        <v>1</v>
      </c>
      <c r="Q38">
        <f t="shared" si="4"/>
        <v>10.739999999999895</v>
      </c>
      <c r="T38" s="4">
        <v>3</v>
      </c>
      <c r="U38" s="3">
        <v>742.84</v>
      </c>
      <c r="W38">
        <f t="shared" si="2"/>
        <v>0</v>
      </c>
      <c r="X38">
        <f t="shared" si="3"/>
        <v>-5.2800000000000864</v>
      </c>
    </row>
    <row r="39" spans="1:24" ht="15.75" thickBot="1" x14ac:dyDescent="0.3">
      <c r="A39" t="s">
        <v>31</v>
      </c>
      <c r="B39">
        <v>4</v>
      </c>
      <c r="C39">
        <v>904.34</v>
      </c>
      <c r="D39">
        <v>1172.68</v>
      </c>
      <c r="E39">
        <v>99</v>
      </c>
      <c r="F39">
        <v>839.54</v>
      </c>
      <c r="G39">
        <v>400</v>
      </c>
      <c r="H39">
        <v>112</v>
      </c>
      <c r="I39">
        <v>619.79999999999995</v>
      </c>
      <c r="L39" t="s">
        <v>102</v>
      </c>
      <c r="M39">
        <v>3</v>
      </c>
      <c r="N39">
        <v>909.16</v>
      </c>
      <c r="P39">
        <f t="shared" si="0"/>
        <v>1</v>
      </c>
      <c r="Q39" s="1">
        <f t="shared" si="4"/>
        <v>-4.8199999999999363</v>
      </c>
      <c r="T39" s="4">
        <v>5</v>
      </c>
      <c r="U39" s="3">
        <v>922.09</v>
      </c>
      <c r="W39">
        <f t="shared" si="2"/>
        <v>-1</v>
      </c>
      <c r="X39">
        <f t="shared" si="3"/>
        <v>-17.75</v>
      </c>
    </row>
    <row r="40" spans="1:24" ht="15.75" thickBot="1" x14ac:dyDescent="0.3">
      <c r="A40" t="s">
        <v>32</v>
      </c>
      <c r="B40">
        <v>4</v>
      </c>
      <c r="C40">
        <v>964.67</v>
      </c>
      <c r="D40">
        <v>1220.21</v>
      </c>
      <c r="E40">
        <v>286</v>
      </c>
      <c r="F40">
        <v>931.56</v>
      </c>
      <c r="G40">
        <v>366</v>
      </c>
      <c r="H40">
        <v>110</v>
      </c>
      <c r="I40">
        <v>618.29999999999995</v>
      </c>
      <c r="L40" t="s">
        <v>103</v>
      </c>
      <c r="M40">
        <v>3</v>
      </c>
      <c r="N40">
        <v>939.37</v>
      </c>
      <c r="P40">
        <f t="shared" si="0"/>
        <v>1</v>
      </c>
      <c r="Q40">
        <f t="shared" si="4"/>
        <v>25.299999999999955</v>
      </c>
      <c r="T40" s="4">
        <v>6</v>
      </c>
      <c r="U40" s="3">
        <v>977.9</v>
      </c>
      <c r="W40">
        <f t="shared" si="2"/>
        <v>-2</v>
      </c>
      <c r="X40">
        <f t="shared" si="3"/>
        <v>-13.230000000000018</v>
      </c>
    </row>
    <row r="41" spans="1:24" ht="15.75" thickBot="1" x14ac:dyDescent="0.3">
      <c r="A41" t="s">
        <v>33</v>
      </c>
      <c r="B41">
        <v>4</v>
      </c>
      <c r="C41">
        <v>773.45</v>
      </c>
      <c r="D41">
        <v>926.69</v>
      </c>
      <c r="E41">
        <v>122</v>
      </c>
      <c r="F41">
        <v>752.12</v>
      </c>
      <c r="G41">
        <v>398</v>
      </c>
      <c r="H41">
        <v>83</v>
      </c>
      <c r="I41">
        <v>620.1</v>
      </c>
      <c r="L41" t="s">
        <v>104</v>
      </c>
      <c r="M41">
        <v>2</v>
      </c>
      <c r="N41">
        <v>885.71</v>
      </c>
      <c r="P41">
        <f t="shared" si="0"/>
        <v>2</v>
      </c>
      <c r="Q41" s="1">
        <f t="shared" si="4"/>
        <v>-112.25999999999999</v>
      </c>
      <c r="T41" s="4">
        <v>4</v>
      </c>
      <c r="U41" s="3">
        <v>795.96</v>
      </c>
      <c r="W41">
        <f t="shared" si="2"/>
        <v>0</v>
      </c>
      <c r="X41">
        <f t="shared" si="3"/>
        <v>-22.509999999999991</v>
      </c>
    </row>
    <row r="42" spans="1:24" ht="15.75" thickBot="1" x14ac:dyDescent="0.3">
      <c r="A42" t="s">
        <v>34</v>
      </c>
      <c r="B42">
        <v>16</v>
      </c>
      <c r="C42">
        <v>1669.25</v>
      </c>
      <c r="D42">
        <v>444.3</v>
      </c>
      <c r="E42">
        <v>159</v>
      </c>
      <c r="F42">
        <v>234.04</v>
      </c>
      <c r="G42">
        <v>384</v>
      </c>
      <c r="H42">
        <v>204</v>
      </c>
      <c r="I42">
        <v>612</v>
      </c>
      <c r="L42" t="s">
        <v>105</v>
      </c>
      <c r="M42">
        <v>14</v>
      </c>
      <c r="N42">
        <v>1696.95</v>
      </c>
      <c r="P42">
        <f t="shared" si="0"/>
        <v>2</v>
      </c>
      <c r="Q42" s="1">
        <f t="shared" si="4"/>
        <v>-27.700000000000045</v>
      </c>
      <c r="T42" s="4">
        <v>16</v>
      </c>
      <c r="U42" s="3">
        <v>1684.99</v>
      </c>
      <c r="W42">
        <f t="shared" si="2"/>
        <v>0</v>
      </c>
      <c r="X42">
        <f t="shared" si="3"/>
        <v>-15.740000000000009</v>
      </c>
    </row>
    <row r="43" spans="1:24" ht="15.75" thickBot="1" x14ac:dyDescent="0.3">
      <c r="A43" t="s">
        <v>35</v>
      </c>
      <c r="B43">
        <v>15</v>
      </c>
      <c r="C43">
        <v>1493.11</v>
      </c>
      <c r="D43">
        <v>611.77</v>
      </c>
      <c r="E43">
        <v>194</v>
      </c>
      <c r="F43">
        <v>237.45</v>
      </c>
      <c r="G43">
        <v>399</v>
      </c>
      <c r="H43">
        <v>257</v>
      </c>
      <c r="I43">
        <v>611.29999999999995</v>
      </c>
      <c r="L43" t="s">
        <v>106</v>
      </c>
      <c r="M43">
        <v>12</v>
      </c>
      <c r="N43">
        <v>1554.75</v>
      </c>
      <c r="P43">
        <f t="shared" si="0"/>
        <v>3</v>
      </c>
      <c r="Q43" s="1">
        <f t="shared" si="4"/>
        <v>-61.6400000000001</v>
      </c>
      <c r="T43" s="4">
        <v>13</v>
      </c>
      <c r="U43" s="3">
        <v>1523.19</v>
      </c>
      <c r="W43">
        <f t="shared" si="2"/>
        <v>2</v>
      </c>
      <c r="X43">
        <f t="shared" si="3"/>
        <v>-30.080000000000155</v>
      </c>
    </row>
    <row r="44" spans="1:24" ht="15.75" thickBot="1" x14ac:dyDescent="0.3">
      <c r="A44" t="s">
        <v>36</v>
      </c>
      <c r="B44">
        <v>12</v>
      </c>
      <c r="C44">
        <v>1342.49</v>
      </c>
      <c r="D44">
        <v>265.47000000000003</v>
      </c>
      <c r="E44">
        <v>128</v>
      </c>
      <c r="F44">
        <v>238.93</v>
      </c>
      <c r="G44">
        <v>392</v>
      </c>
      <c r="H44">
        <v>196</v>
      </c>
      <c r="I44">
        <v>612.1</v>
      </c>
      <c r="L44" t="s">
        <v>107</v>
      </c>
      <c r="M44">
        <v>11</v>
      </c>
      <c r="N44">
        <v>1261.67</v>
      </c>
      <c r="P44">
        <f t="shared" si="0"/>
        <v>1</v>
      </c>
      <c r="Q44">
        <f t="shared" si="4"/>
        <v>80.819999999999936</v>
      </c>
      <c r="T44" s="4">
        <v>12</v>
      </c>
      <c r="U44" s="4">
        <v>1370.1</v>
      </c>
      <c r="W44">
        <f t="shared" si="2"/>
        <v>0</v>
      </c>
      <c r="X44">
        <f t="shared" si="3"/>
        <v>-27.6099999999999</v>
      </c>
    </row>
    <row r="45" spans="1:24" ht="15.75" thickBot="1" x14ac:dyDescent="0.3">
      <c r="A45" t="s">
        <v>37</v>
      </c>
      <c r="B45">
        <v>11</v>
      </c>
      <c r="C45">
        <v>1151.1500000000001</v>
      </c>
      <c r="D45">
        <v>176.14</v>
      </c>
      <c r="E45">
        <v>159</v>
      </c>
      <c r="F45">
        <v>237.6</v>
      </c>
      <c r="G45">
        <v>384</v>
      </c>
      <c r="H45">
        <v>133</v>
      </c>
      <c r="I45">
        <v>611.79999999999995</v>
      </c>
      <c r="L45" t="s">
        <v>108</v>
      </c>
      <c r="M45">
        <v>10</v>
      </c>
      <c r="N45">
        <v>1135.48</v>
      </c>
      <c r="P45">
        <f t="shared" si="0"/>
        <v>1</v>
      </c>
      <c r="Q45">
        <f t="shared" si="4"/>
        <v>15.670000000000073</v>
      </c>
      <c r="T45" s="4">
        <v>11</v>
      </c>
      <c r="U45" s="3">
        <v>1234.27</v>
      </c>
      <c r="W45">
        <f t="shared" si="2"/>
        <v>0</v>
      </c>
      <c r="X45">
        <f t="shared" si="3"/>
        <v>-83.119999999999891</v>
      </c>
    </row>
    <row r="46" spans="1:24" ht="15.75" thickBot="1" x14ac:dyDescent="0.3">
      <c r="A46" t="s">
        <v>38</v>
      </c>
      <c r="B46">
        <v>16</v>
      </c>
      <c r="C46">
        <v>1581.19</v>
      </c>
      <c r="D46">
        <v>613.70000000000005</v>
      </c>
      <c r="E46">
        <v>168</v>
      </c>
      <c r="F46">
        <v>237.9</v>
      </c>
      <c r="G46">
        <v>400</v>
      </c>
      <c r="H46">
        <v>207</v>
      </c>
      <c r="I46">
        <v>615.70000000000005</v>
      </c>
      <c r="L46" t="s">
        <v>109</v>
      </c>
      <c r="M46">
        <v>13</v>
      </c>
      <c r="N46">
        <v>1629.44</v>
      </c>
      <c r="P46">
        <f t="shared" si="0"/>
        <v>3</v>
      </c>
      <c r="Q46" s="1">
        <f t="shared" si="4"/>
        <v>-48.25</v>
      </c>
      <c r="T46" s="4">
        <v>14</v>
      </c>
      <c r="U46" s="3">
        <v>1601.86</v>
      </c>
      <c r="W46">
        <f t="shared" si="2"/>
        <v>2</v>
      </c>
      <c r="X46">
        <f t="shared" si="3"/>
        <v>-20.669999999999845</v>
      </c>
    </row>
    <row r="47" spans="1:24" ht="15.75" thickBot="1" x14ac:dyDescent="0.3">
      <c r="A47" t="s">
        <v>39</v>
      </c>
      <c r="B47">
        <v>14</v>
      </c>
      <c r="C47">
        <v>1429.21</v>
      </c>
      <c r="D47">
        <v>371.88</v>
      </c>
      <c r="E47">
        <v>153</v>
      </c>
      <c r="F47">
        <v>236.74</v>
      </c>
      <c r="G47">
        <v>400</v>
      </c>
      <c r="H47">
        <v>178</v>
      </c>
      <c r="I47">
        <v>610.79999999999995</v>
      </c>
      <c r="L47" t="s">
        <v>110</v>
      </c>
      <c r="M47">
        <v>11</v>
      </c>
      <c r="N47">
        <v>1424.73</v>
      </c>
      <c r="P47">
        <f t="shared" si="0"/>
        <v>3</v>
      </c>
      <c r="Q47">
        <f t="shared" si="4"/>
        <v>4.4800000000000182</v>
      </c>
      <c r="T47" s="4">
        <v>14</v>
      </c>
      <c r="U47" s="3">
        <v>1448.6</v>
      </c>
      <c r="W47">
        <f t="shared" si="2"/>
        <v>0</v>
      </c>
      <c r="X47">
        <f t="shared" si="3"/>
        <v>-19.389999999999873</v>
      </c>
    </row>
    <row r="48" spans="1:24" ht="15.75" thickBot="1" x14ac:dyDescent="0.3">
      <c r="A48" t="s">
        <v>40</v>
      </c>
      <c r="B48">
        <v>12</v>
      </c>
      <c r="C48">
        <v>1269.0999999999999</v>
      </c>
      <c r="D48">
        <v>215.09</v>
      </c>
      <c r="E48">
        <v>113</v>
      </c>
      <c r="F48">
        <v>229.91</v>
      </c>
      <c r="G48">
        <v>356</v>
      </c>
      <c r="H48">
        <v>200</v>
      </c>
      <c r="I48">
        <v>614.1</v>
      </c>
      <c r="L48" t="s">
        <v>111</v>
      </c>
      <c r="M48">
        <v>11</v>
      </c>
      <c r="N48">
        <v>1230.48</v>
      </c>
      <c r="P48">
        <f t="shared" si="0"/>
        <v>1</v>
      </c>
      <c r="Q48">
        <f t="shared" si="4"/>
        <v>38.619999999999891</v>
      </c>
      <c r="T48" s="4">
        <v>12</v>
      </c>
      <c r="U48" s="3">
        <v>1285.9100000000001</v>
      </c>
      <c r="W48">
        <f t="shared" si="2"/>
        <v>0</v>
      </c>
      <c r="X48">
        <f t="shared" si="3"/>
        <v>-16.810000000000173</v>
      </c>
    </row>
    <row r="49" spans="1:24" ht="15.75" thickBot="1" x14ac:dyDescent="0.3">
      <c r="A49" t="s">
        <v>41</v>
      </c>
      <c r="B49">
        <v>11</v>
      </c>
      <c r="C49">
        <v>1158.8499999999999</v>
      </c>
      <c r="D49">
        <v>174.78</v>
      </c>
      <c r="E49">
        <v>115</v>
      </c>
      <c r="F49">
        <v>236.32</v>
      </c>
      <c r="G49">
        <v>385</v>
      </c>
      <c r="H49">
        <v>186</v>
      </c>
      <c r="I49">
        <v>612.70000000000005</v>
      </c>
      <c r="L49" t="s">
        <v>112</v>
      </c>
      <c r="M49">
        <v>10</v>
      </c>
      <c r="N49">
        <v>1139.82</v>
      </c>
      <c r="P49">
        <f t="shared" si="0"/>
        <v>1</v>
      </c>
      <c r="Q49">
        <f t="shared" si="4"/>
        <v>19.029999999999973</v>
      </c>
      <c r="T49" s="4">
        <v>11</v>
      </c>
      <c r="U49" s="3">
        <v>1186.42</v>
      </c>
      <c r="W49">
        <f t="shared" si="2"/>
        <v>0</v>
      </c>
      <c r="X49">
        <f t="shared" si="3"/>
        <v>-27.570000000000164</v>
      </c>
    </row>
    <row r="50" spans="1:24" s="1" customFormat="1" ht="15.75" thickBot="1" x14ac:dyDescent="0.3">
      <c r="A50" s="1" t="s">
        <v>42</v>
      </c>
      <c r="B50" s="1">
        <v>6</v>
      </c>
      <c r="C50" s="1">
        <v>1338.49</v>
      </c>
      <c r="D50" s="1">
        <v>2572.4699999999998</v>
      </c>
      <c r="E50" s="1">
        <v>163</v>
      </c>
      <c r="F50" s="1">
        <v>896.84</v>
      </c>
      <c r="G50" s="1">
        <v>400</v>
      </c>
      <c r="H50" s="1">
        <v>96</v>
      </c>
      <c r="I50" s="1">
        <v>621.1</v>
      </c>
      <c r="L50" s="1" t="s">
        <v>113</v>
      </c>
      <c r="M50" s="1">
        <v>4</v>
      </c>
      <c r="N50" s="1">
        <v>1406.94</v>
      </c>
      <c r="P50" s="1">
        <f t="shared" si="0"/>
        <v>2</v>
      </c>
      <c r="Q50" s="1">
        <f t="shared" si="4"/>
        <v>-68.450000000000045</v>
      </c>
      <c r="T50" s="4">
        <v>8</v>
      </c>
      <c r="U50" s="4">
        <v>1383.07</v>
      </c>
      <c r="W50">
        <f t="shared" si="2"/>
        <v>-2</v>
      </c>
      <c r="X50">
        <f t="shared" si="3"/>
        <v>-44.579999999999927</v>
      </c>
    </row>
    <row r="51" spans="1:24" ht="15.75" thickBot="1" x14ac:dyDescent="0.3">
      <c r="A51" t="s">
        <v>43</v>
      </c>
      <c r="B51">
        <v>6</v>
      </c>
      <c r="C51">
        <v>1170.9000000000001</v>
      </c>
      <c r="D51">
        <v>2742.6</v>
      </c>
      <c r="E51">
        <v>159</v>
      </c>
      <c r="F51">
        <v>922.82</v>
      </c>
      <c r="G51">
        <v>396</v>
      </c>
      <c r="H51">
        <v>124</v>
      </c>
      <c r="I51">
        <v>617.9</v>
      </c>
      <c r="L51" t="s">
        <v>114</v>
      </c>
      <c r="M51">
        <v>3</v>
      </c>
      <c r="N51">
        <v>1365.65</v>
      </c>
      <c r="P51">
        <f t="shared" si="0"/>
        <v>3</v>
      </c>
      <c r="Q51" s="1">
        <f t="shared" si="4"/>
        <v>-194.75</v>
      </c>
      <c r="T51" s="4">
        <v>10</v>
      </c>
      <c r="U51" s="3">
        <v>1167.69</v>
      </c>
      <c r="W51">
        <f t="shared" si="2"/>
        <v>-4</v>
      </c>
      <c r="X51">
        <f t="shared" si="3"/>
        <v>3.2100000000000364</v>
      </c>
    </row>
    <row r="52" spans="1:24" ht="15.75" thickBot="1" x14ac:dyDescent="0.3">
      <c r="A52" t="s">
        <v>44</v>
      </c>
      <c r="B52">
        <v>5</v>
      </c>
      <c r="C52">
        <v>965.67</v>
      </c>
      <c r="D52">
        <v>2327.62</v>
      </c>
      <c r="E52">
        <v>189</v>
      </c>
      <c r="F52">
        <v>900.5</v>
      </c>
      <c r="G52">
        <v>400</v>
      </c>
      <c r="H52">
        <v>124</v>
      </c>
      <c r="I52">
        <v>622.9</v>
      </c>
      <c r="L52" t="s">
        <v>115</v>
      </c>
      <c r="M52">
        <v>3</v>
      </c>
      <c r="N52">
        <v>1049.6199999999999</v>
      </c>
      <c r="P52">
        <f t="shared" si="0"/>
        <v>2</v>
      </c>
      <c r="Q52" s="1">
        <f t="shared" si="4"/>
        <v>-83.949999999999932</v>
      </c>
      <c r="T52" s="4">
        <v>6</v>
      </c>
      <c r="U52" s="3">
        <v>962.6</v>
      </c>
      <c r="W52">
        <f t="shared" si="2"/>
        <v>-1</v>
      </c>
      <c r="X52">
        <f t="shared" si="3"/>
        <v>3.0699999999999363</v>
      </c>
    </row>
    <row r="53" spans="1:24" ht="15.75" thickBot="1" x14ac:dyDescent="0.3">
      <c r="A53" t="s">
        <v>45</v>
      </c>
      <c r="B53">
        <v>4</v>
      </c>
      <c r="C53">
        <v>805.63</v>
      </c>
      <c r="D53">
        <v>1075.58</v>
      </c>
      <c r="E53">
        <v>212</v>
      </c>
      <c r="F53">
        <v>912.89</v>
      </c>
      <c r="G53">
        <v>399</v>
      </c>
      <c r="H53">
        <v>60</v>
      </c>
      <c r="I53">
        <v>624.70000000000005</v>
      </c>
      <c r="L53" t="s">
        <v>116</v>
      </c>
      <c r="M53">
        <v>3</v>
      </c>
      <c r="N53">
        <v>798.46</v>
      </c>
      <c r="P53">
        <f t="shared" si="0"/>
        <v>1</v>
      </c>
      <c r="Q53">
        <f t="shared" si="4"/>
        <v>7.1699999999999591</v>
      </c>
      <c r="T53" s="4">
        <v>5</v>
      </c>
      <c r="U53" s="3">
        <v>803.76</v>
      </c>
      <c r="W53">
        <f t="shared" si="2"/>
        <v>-1</v>
      </c>
      <c r="X53">
        <f t="shared" si="3"/>
        <v>1.8700000000000045</v>
      </c>
    </row>
    <row r="54" spans="1:24" ht="15.75" thickBot="1" x14ac:dyDescent="0.3">
      <c r="A54" t="s">
        <v>46</v>
      </c>
      <c r="B54">
        <v>6</v>
      </c>
      <c r="C54">
        <v>1271.96</v>
      </c>
      <c r="D54">
        <v>2574.91</v>
      </c>
      <c r="E54">
        <v>191</v>
      </c>
      <c r="F54">
        <v>955.18</v>
      </c>
      <c r="G54">
        <v>399</v>
      </c>
      <c r="H54">
        <v>136</v>
      </c>
      <c r="I54">
        <v>616.79999999999995</v>
      </c>
      <c r="L54" t="s">
        <v>117</v>
      </c>
      <c r="M54">
        <v>4</v>
      </c>
      <c r="N54">
        <v>1297.6500000000001</v>
      </c>
      <c r="P54">
        <f t="shared" si="0"/>
        <v>2</v>
      </c>
      <c r="Q54" s="1">
        <f t="shared" si="4"/>
        <v>-25.690000000000055</v>
      </c>
      <c r="T54" s="4">
        <v>8</v>
      </c>
      <c r="U54" s="3">
        <v>1302.3599999999999</v>
      </c>
      <c r="W54">
        <f t="shared" si="2"/>
        <v>-2</v>
      </c>
      <c r="X54">
        <f t="shared" si="3"/>
        <v>-30.399999999999864</v>
      </c>
    </row>
    <row r="55" spans="1:24" ht="15.75" thickBot="1" x14ac:dyDescent="0.3">
      <c r="A55" t="s">
        <v>47</v>
      </c>
      <c r="B55">
        <v>4</v>
      </c>
      <c r="C55">
        <v>1165.56</v>
      </c>
      <c r="D55">
        <v>961.08</v>
      </c>
      <c r="E55">
        <v>213</v>
      </c>
      <c r="F55">
        <v>880.28</v>
      </c>
      <c r="G55">
        <v>397</v>
      </c>
      <c r="H55">
        <v>95</v>
      </c>
      <c r="I55">
        <v>634.29999999999995</v>
      </c>
      <c r="L55" t="s">
        <v>118</v>
      </c>
      <c r="M55">
        <v>3</v>
      </c>
      <c r="N55">
        <v>1146.32</v>
      </c>
      <c r="P55">
        <f t="shared" si="0"/>
        <v>1</v>
      </c>
      <c r="Q55">
        <f t="shared" si="4"/>
        <v>19.240000000000009</v>
      </c>
      <c r="T55" s="4">
        <v>9</v>
      </c>
      <c r="U55" s="3">
        <v>1211.6099999999999</v>
      </c>
      <c r="W55">
        <f t="shared" si="2"/>
        <v>-5</v>
      </c>
      <c r="X55">
        <f t="shared" si="3"/>
        <v>-46.049999999999955</v>
      </c>
    </row>
    <row r="56" spans="1:24" ht="15.75" thickBot="1" x14ac:dyDescent="0.3">
      <c r="A56" t="s">
        <v>48</v>
      </c>
      <c r="B56">
        <v>5</v>
      </c>
      <c r="C56">
        <v>1026.56</v>
      </c>
      <c r="D56">
        <v>1514.22</v>
      </c>
      <c r="E56">
        <v>216</v>
      </c>
      <c r="F56">
        <v>737.35</v>
      </c>
      <c r="G56">
        <v>340</v>
      </c>
      <c r="H56">
        <v>73</v>
      </c>
      <c r="I56">
        <v>621.6</v>
      </c>
      <c r="L56" t="s">
        <v>119</v>
      </c>
      <c r="M56">
        <v>3</v>
      </c>
      <c r="N56">
        <v>1061.1400000000001</v>
      </c>
      <c r="P56">
        <f t="shared" si="0"/>
        <v>2</v>
      </c>
      <c r="Q56" s="1">
        <f t="shared" si="4"/>
        <v>-34.580000000000155</v>
      </c>
      <c r="T56" s="4">
        <v>7</v>
      </c>
      <c r="U56" s="3">
        <v>1020.98</v>
      </c>
      <c r="W56">
        <f t="shared" si="2"/>
        <v>-2</v>
      </c>
      <c r="X56">
        <f t="shared" si="3"/>
        <v>5.5799999999999272</v>
      </c>
    </row>
    <row r="57" spans="1:24" ht="15.75" thickBot="1" x14ac:dyDescent="0.3">
      <c r="A57" t="s">
        <v>49</v>
      </c>
      <c r="B57">
        <v>5</v>
      </c>
      <c r="C57">
        <v>810.18</v>
      </c>
      <c r="D57">
        <v>1375.69</v>
      </c>
      <c r="E57">
        <v>180</v>
      </c>
      <c r="F57">
        <v>713.54</v>
      </c>
      <c r="G57">
        <v>400</v>
      </c>
      <c r="H57">
        <v>47</v>
      </c>
      <c r="I57">
        <v>634.4</v>
      </c>
      <c r="L57" t="s">
        <v>120</v>
      </c>
      <c r="M57">
        <v>3</v>
      </c>
      <c r="N57">
        <v>828.14</v>
      </c>
      <c r="P57">
        <f t="shared" si="0"/>
        <v>2</v>
      </c>
      <c r="Q57" s="1">
        <f t="shared" si="4"/>
        <v>-17.960000000000036</v>
      </c>
      <c r="T57" s="4">
        <v>4</v>
      </c>
      <c r="U57" s="3">
        <v>813.47</v>
      </c>
      <c r="W57">
        <f t="shared" si="2"/>
        <v>1</v>
      </c>
      <c r="X57">
        <f t="shared" si="3"/>
        <v>-3.2900000000000773</v>
      </c>
    </row>
  </sheetData>
  <mergeCells count="1">
    <mergeCell ref="L1:N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Hieu</cp:lastModifiedBy>
  <dcterms:created xsi:type="dcterms:W3CDTF">2026-03-13T01:37:58Z</dcterms:created>
  <dcterms:modified xsi:type="dcterms:W3CDTF">2026-05-03T07:51:19Z</dcterms:modified>
</cp:coreProperties>
</file>