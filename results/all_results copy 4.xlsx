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uanVanThs\code\results\"/>
    </mc:Choice>
  </mc:AlternateContent>
  <xr:revisionPtr revIDLastSave="0" documentId="13_ncr:1_{A63D66F2-ADE1-4DF0-90E6-FA5034B71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" i="1"/>
</calcChain>
</file>

<file path=xl/sharedStrings.xml><?xml version="1.0" encoding="utf-8"?>
<sst xmlns="http://schemas.openxmlformats.org/spreadsheetml/2006/main" count="86" uniqueCount="86">
  <si>
    <t>Instance</t>
  </si>
  <si>
    <t>Z1(Vehicles)</t>
  </si>
  <si>
    <t>Z2(Distance)</t>
  </si>
  <si>
    <t>Z3(WaitTime)</t>
  </si>
  <si>
    <t>Z4(LoadBal)</t>
  </si>
  <si>
    <t>Z5(Makespan)</t>
  </si>
  <si>
    <t>PF_Size</t>
  </si>
  <si>
    <t>Generations</t>
  </si>
  <si>
    <t>Runtime(s)</t>
  </si>
  <si>
    <t>C104</t>
  </si>
  <si>
    <t>C204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</si>
  <si>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</si>
  <si>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</si>
  <si>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</si>
  <si>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</si>
  <si>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</si>
  <si>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</si>
  <si>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</si>
  <si>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</si>
  <si>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</si>
  <si>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</si>
  <si>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</si>
  <si>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</si>
  <si>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</si>
  <si>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</si>
  <si>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</si>
  <si>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</si>
  <si>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</si>
  <si>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</si>
  <si>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</si>
  <si>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</si>
  <si>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</si>
  <si>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</si>
  <si>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</si>
  <si>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</si>
  <si>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</si>
  <si>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</si>
  <si>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</si>
  <si>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</si>
  <si>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</si>
  <si>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</si>
  <si>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</si>
  <si>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</si>
  <si>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</si>
  <si>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</si>
  <si>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</si>
  <si>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</si>
  <si>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</si>
  <si>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</si>
  <si>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</si>
  <si>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</si>
  <si>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</si>
  <si>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</si>
  <si>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</si>
  <si>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</si>
  <si>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</si>
  <si>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</si>
  <si>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</si>
  <si>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</si>
  <si>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r201</t>
  </si>
  <si>
    <t>r202</t>
  </si>
  <si>
    <t>r203</t>
  </si>
  <si>
    <t>r204</t>
  </si>
  <si>
    <t>r205b</t>
  </si>
  <si>
    <t>r206</t>
  </si>
  <si>
    <t>r207</t>
  </si>
  <si>
    <t>r208</t>
  </si>
  <si>
    <t>r209</t>
  </si>
  <si>
    <t>r210</t>
  </si>
  <si>
    <t>r211</t>
  </si>
  <si>
    <t>rc101b</t>
  </si>
  <si>
    <t>rc102</t>
  </si>
  <si>
    <t>rc103</t>
  </si>
  <si>
    <t>rc104</t>
  </si>
  <si>
    <t>rc105</t>
  </si>
  <si>
    <t>rc106</t>
  </si>
  <si>
    <t>rc107</t>
  </si>
  <si>
    <t>rc108</t>
  </si>
  <si>
    <t>rc201</t>
  </si>
  <si>
    <t>rc202</t>
  </si>
  <si>
    <t>rc203</t>
  </si>
  <si>
    <t>rc204</t>
  </si>
  <si>
    <t>rc205</t>
  </si>
  <si>
    <t>rc206</t>
  </si>
  <si>
    <t>rc207</t>
  </si>
  <si>
    <t>rc208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</si>
</sst>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topLeftCell="A7" workbookViewId="0">
      <selection activeCell="P40" sqref="P40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7" x14ac:dyDescent="0.25">
      <c r="A2" t="s">
        <v>9</v>
      </c>
      <c r="B2">
        <v>10</v>
      </c>
      <c r="C2">
        <v>826.88</v>
      </c>
      <c r="D2">
        <v>383.64</v>
      </c>
      <c r="E2">
        <v>50</v>
      </c>
      <c r="F2">
        <v>1234.81</v>
      </c>
      <c r="G2">
        <v>323</v>
      </c>
      <c r="H2">
        <v>232</v>
      </c>
      <c r="I2">
        <v>611.5</v>
      </c>
    </row>
    <row r="3" spans="1:17" x14ac:dyDescent="0.25">
      <c r="A3" t="s">
        <v>10</v>
      </c>
      <c r="B3">
        <v>3</v>
      </c>
      <c r="C3">
        <v>590.6</v>
      </c>
      <c r="D3">
        <v>0</v>
      </c>
      <c r="E3">
        <v>70</v>
      </c>
      <c r="F3">
        <v>3388.21</v>
      </c>
      <c r="G3">
        <v>296</v>
      </c>
      <c r="H3">
        <v>58</v>
      </c>
      <c r="I3">
        <v>619.70000000000005</v>
      </c>
    </row>
    <row r="4" spans="1:17" x14ac:dyDescent="0.25">
      <c r="A4" t="s">
        <v>11</v>
      </c>
      <c r="B4">
        <v>20</v>
      </c>
      <c r="C4">
        <v>1646.6</v>
      </c>
      <c r="D4">
        <v>966</v>
      </c>
      <c r="E4">
        <v>146</v>
      </c>
      <c r="F4">
        <v>219.06</v>
      </c>
      <c r="G4">
        <v>378</v>
      </c>
      <c r="H4">
        <v>188</v>
      </c>
      <c r="I4">
        <v>611.6</v>
      </c>
      <c r="L4" s="1" t="s">
        <v>47</v>
      </c>
      <c r="M4" s="1">
        <v>19</v>
      </c>
      <c r="N4" s="1">
        <v>1650.8</v>
      </c>
      <c r="P4">
        <f>C4-N4</f>
        <v>-4.2000000000000455</v>
      </c>
      <c r="Q4">
        <f>B4-M4</f>
        <v>1</v>
      </c>
    </row>
    <row r="5" spans="1:17" x14ac:dyDescent="0.25">
      <c r="A5" t="s">
        <v>12</v>
      </c>
      <c r="B5">
        <v>18</v>
      </c>
      <c r="C5">
        <v>1472.81</v>
      </c>
      <c r="D5">
        <v>935.45</v>
      </c>
      <c r="E5">
        <v>139</v>
      </c>
      <c r="F5">
        <v>229.09</v>
      </c>
      <c r="G5">
        <v>398</v>
      </c>
      <c r="H5">
        <v>124</v>
      </c>
      <c r="I5">
        <v>613.4</v>
      </c>
      <c r="L5" s="1" t="s">
        <v>48</v>
      </c>
      <c r="M5" s="1">
        <v>17</v>
      </c>
      <c r="N5" s="1">
        <v>1486.12</v>
      </c>
      <c r="P5" s="1">
        <f t="shared" ref="P5:P39" si="0">C5-N5</f>
        <v>-13.309999999999945</v>
      </c>
      <c r="Q5" s="1">
        <f t="shared" ref="Q5:Q39" si="1">B5-M5</f>
        <v>1</v>
      </c>
    </row>
    <row r="6" spans="1:17" x14ac:dyDescent="0.25">
      <c r="A6" t="s">
        <v>13</v>
      </c>
      <c r="B6">
        <v>14</v>
      </c>
      <c r="C6">
        <v>1257.6500000000001</v>
      </c>
      <c r="D6">
        <v>546.20000000000005</v>
      </c>
      <c r="E6">
        <v>156</v>
      </c>
      <c r="F6">
        <v>229.04</v>
      </c>
      <c r="G6">
        <v>398</v>
      </c>
      <c r="H6">
        <v>99</v>
      </c>
      <c r="I6">
        <v>618.79999999999995</v>
      </c>
      <c r="L6" s="1" t="s">
        <v>49</v>
      </c>
      <c r="M6" s="1">
        <v>13</v>
      </c>
      <c r="N6" s="1">
        <v>1292.68</v>
      </c>
      <c r="P6" s="1">
        <f t="shared" si="0"/>
        <v>-35.029999999999973</v>
      </c>
      <c r="Q6" s="1">
        <f t="shared" si="1"/>
        <v>1</v>
      </c>
    </row>
    <row r="7" spans="1:17" x14ac:dyDescent="0.25">
      <c r="A7" t="s">
        <v>14</v>
      </c>
      <c r="B7">
        <v>12</v>
      </c>
      <c r="C7">
        <v>1017.5</v>
      </c>
      <c r="D7">
        <v>420.72</v>
      </c>
      <c r="E7">
        <v>165</v>
      </c>
      <c r="F7">
        <v>229.39</v>
      </c>
      <c r="G7">
        <v>400</v>
      </c>
      <c r="H7">
        <v>158</v>
      </c>
      <c r="I7">
        <v>620.5</v>
      </c>
      <c r="L7" s="1" t="s">
        <v>50</v>
      </c>
      <c r="M7" s="1">
        <v>9</v>
      </c>
      <c r="N7" s="1">
        <v>1007.31</v>
      </c>
      <c r="P7" s="1">
        <f t="shared" si="0"/>
        <v>10.190000000000055</v>
      </c>
      <c r="Q7" s="1">
        <f t="shared" si="1"/>
        <v>3</v>
      </c>
    </row>
    <row r="8" spans="1:17" x14ac:dyDescent="0.25">
      <c r="A8" t="s">
        <v>15</v>
      </c>
      <c r="B8">
        <v>16</v>
      </c>
      <c r="C8">
        <v>1393.89</v>
      </c>
      <c r="D8">
        <v>478.33</v>
      </c>
      <c r="E8">
        <v>115</v>
      </c>
      <c r="F8">
        <v>227.25</v>
      </c>
      <c r="G8">
        <v>400</v>
      </c>
      <c r="H8">
        <v>168</v>
      </c>
      <c r="I8">
        <v>611.70000000000005</v>
      </c>
      <c r="L8" s="1" t="s">
        <v>51</v>
      </c>
      <c r="M8" s="1">
        <v>14</v>
      </c>
      <c r="N8" s="1">
        <v>1377.11</v>
      </c>
      <c r="P8" s="1">
        <f t="shared" si="0"/>
        <v>16.7800000000002</v>
      </c>
      <c r="Q8" s="1">
        <f t="shared" si="1"/>
        <v>2</v>
      </c>
    </row>
    <row r="9" spans="1:17" x14ac:dyDescent="0.25">
      <c r="A9" t="s">
        <v>16</v>
      </c>
      <c r="B9">
        <v>13</v>
      </c>
      <c r="C9">
        <v>1252.99</v>
      </c>
      <c r="D9">
        <v>228.43</v>
      </c>
      <c r="E9">
        <v>130</v>
      </c>
      <c r="F9">
        <v>228.5</v>
      </c>
      <c r="G9">
        <v>399</v>
      </c>
      <c r="H9">
        <v>155</v>
      </c>
      <c r="I9">
        <v>614.20000000000005</v>
      </c>
      <c r="L9" s="1" t="s">
        <v>52</v>
      </c>
      <c r="M9" s="1">
        <v>12</v>
      </c>
      <c r="N9" s="1">
        <v>1252.03</v>
      </c>
      <c r="P9" s="1">
        <f t="shared" si="0"/>
        <v>0.96000000000003638</v>
      </c>
      <c r="Q9" s="1">
        <f t="shared" si="1"/>
        <v>1</v>
      </c>
    </row>
    <row r="10" spans="1:17" x14ac:dyDescent="0.25">
      <c r="A10" t="s">
        <v>17</v>
      </c>
      <c r="B10">
        <v>12</v>
      </c>
      <c r="C10">
        <v>1093.8399999999999</v>
      </c>
      <c r="D10">
        <v>318.17</v>
      </c>
      <c r="E10">
        <v>165</v>
      </c>
      <c r="F10">
        <v>227.83</v>
      </c>
      <c r="G10">
        <v>398</v>
      </c>
      <c r="H10">
        <v>196</v>
      </c>
      <c r="I10">
        <v>616</v>
      </c>
      <c r="L10" s="1" t="s">
        <v>53</v>
      </c>
      <c r="M10" s="1">
        <v>10</v>
      </c>
      <c r="N10" s="1">
        <v>1104.6600000000001</v>
      </c>
      <c r="P10" s="1">
        <f t="shared" si="0"/>
        <v>-10.820000000000164</v>
      </c>
      <c r="Q10" s="1">
        <f t="shared" si="1"/>
        <v>2</v>
      </c>
    </row>
    <row r="11" spans="1:17" x14ac:dyDescent="0.25">
      <c r="A11" t="s">
        <v>18</v>
      </c>
      <c r="B11">
        <v>10</v>
      </c>
      <c r="C11">
        <v>958.1</v>
      </c>
      <c r="D11">
        <v>206.04</v>
      </c>
      <c r="E11">
        <v>91</v>
      </c>
      <c r="F11">
        <v>229.72</v>
      </c>
      <c r="G11">
        <v>399</v>
      </c>
      <c r="H11">
        <v>165</v>
      </c>
      <c r="I11">
        <v>614.9</v>
      </c>
      <c r="L11" s="1" t="s">
        <v>54</v>
      </c>
      <c r="M11" s="1">
        <v>9</v>
      </c>
      <c r="N11" s="1">
        <v>960.88</v>
      </c>
      <c r="P11" s="1">
        <f t="shared" si="0"/>
        <v>-2.7799999999999727</v>
      </c>
      <c r="Q11" s="1">
        <f t="shared" si="1"/>
        <v>1</v>
      </c>
    </row>
    <row r="12" spans="1:17" x14ac:dyDescent="0.25">
      <c r="A12" t="s">
        <v>19</v>
      </c>
      <c r="B12">
        <v>12</v>
      </c>
      <c r="C12">
        <v>1154.04</v>
      </c>
      <c r="D12">
        <v>198.16</v>
      </c>
      <c r="E12">
        <v>116</v>
      </c>
      <c r="F12">
        <v>227.22</v>
      </c>
      <c r="G12">
        <v>400</v>
      </c>
      <c r="H12">
        <v>196</v>
      </c>
      <c r="I12">
        <v>612.79999999999995</v>
      </c>
      <c r="L12" s="1" t="s">
        <v>55</v>
      </c>
      <c r="M12" s="1">
        <v>11</v>
      </c>
      <c r="N12" s="1">
        <v>1194.73</v>
      </c>
      <c r="P12" s="1">
        <f t="shared" si="0"/>
        <v>-40.690000000000055</v>
      </c>
      <c r="Q12" s="1">
        <f t="shared" si="1"/>
        <v>1</v>
      </c>
    </row>
    <row r="13" spans="1:17" x14ac:dyDescent="0.25">
      <c r="A13" t="s">
        <v>20</v>
      </c>
      <c r="B13">
        <v>13</v>
      </c>
      <c r="C13">
        <v>1135.0999999999999</v>
      </c>
      <c r="D13">
        <v>351.17</v>
      </c>
      <c r="E13">
        <v>139</v>
      </c>
      <c r="F13">
        <v>217.32</v>
      </c>
      <c r="G13">
        <v>398</v>
      </c>
      <c r="H13">
        <v>162</v>
      </c>
      <c r="I13">
        <v>611.6</v>
      </c>
      <c r="L13" s="1" t="s">
        <v>56</v>
      </c>
      <c r="M13" s="1">
        <v>10</v>
      </c>
      <c r="N13" s="1">
        <v>1118.8399999999999</v>
      </c>
      <c r="P13" s="1">
        <f t="shared" si="0"/>
        <v>16.259999999999991</v>
      </c>
      <c r="Q13" s="1">
        <f t="shared" si="1"/>
        <v>3</v>
      </c>
    </row>
    <row r="14" spans="1:17" x14ac:dyDescent="0.25">
      <c r="A14" t="s">
        <v>21</v>
      </c>
      <c r="B14">
        <v>12</v>
      </c>
      <c r="C14">
        <v>1071.6400000000001</v>
      </c>
      <c r="D14">
        <v>335.24</v>
      </c>
      <c r="E14">
        <v>165</v>
      </c>
      <c r="F14">
        <v>228.89</v>
      </c>
      <c r="G14">
        <v>397</v>
      </c>
      <c r="H14">
        <v>219</v>
      </c>
      <c r="I14">
        <v>611.79999999999995</v>
      </c>
      <c r="L14" s="1" t="s">
        <v>57</v>
      </c>
      <c r="M14" s="1">
        <v>10</v>
      </c>
      <c r="N14" s="1">
        <v>1096.72</v>
      </c>
      <c r="P14" s="1">
        <f t="shared" si="0"/>
        <v>-25.079999999999927</v>
      </c>
      <c r="Q14" s="1">
        <f t="shared" si="1"/>
        <v>2</v>
      </c>
    </row>
    <row r="15" spans="1:17" x14ac:dyDescent="0.25">
      <c r="A15" t="s">
        <v>22</v>
      </c>
      <c r="B15">
        <v>11</v>
      </c>
      <c r="C15">
        <v>993.68</v>
      </c>
      <c r="D15">
        <v>171.15</v>
      </c>
      <c r="E15">
        <v>97</v>
      </c>
      <c r="F15">
        <v>229.13</v>
      </c>
      <c r="G15">
        <v>400</v>
      </c>
      <c r="H15">
        <v>155</v>
      </c>
      <c r="I15">
        <v>610.70000000000005</v>
      </c>
      <c r="L15" s="1" t="s">
        <v>58</v>
      </c>
      <c r="M15" s="1">
        <v>9</v>
      </c>
      <c r="N15" s="1">
        <v>982.14</v>
      </c>
      <c r="P15" s="1">
        <f t="shared" si="0"/>
        <v>11.539999999999964</v>
      </c>
      <c r="Q15" s="1">
        <f t="shared" si="1"/>
        <v>2</v>
      </c>
    </row>
    <row r="16" spans="1:17" x14ac:dyDescent="0.25">
      <c r="A16" t="s">
        <v>23</v>
      </c>
      <c r="B16">
        <v>6</v>
      </c>
      <c r="C16">
        <v>1189.74</v>
      </c>
      <c r="D16">
        <v>2790.06</v>
      </c>
      <c r="E16">
        <v>201</v>
      </c>
      <c r="F16">
        <v>907.63</v>
      </c>
      <c r="G16">
        <v>399</v>
      </c>
      <c r="H16">
        <v>124</v>
      </c>
      <c r="I16">
        <v>614.5</v>
      </c>
      <c r="L16" s="1" t="s">
        <v>59</v>
      </c>
      <c r="M16" s="1">
        <v>4</v>
      </c>
      <c r="N16" s="1">
        <v>1252.3699999999999</v>
      </c>
      <c r="P16" s="1">
        <f t="shared" si="0"/>
        <v>-62.629999999999882</v>
      </c>
      <c r="Q16" s="1">
        <f t="shared" si="1"/>
        <v>2</v>
      </c>
    </row>
    <row r="17" spans="1:17" x14ac:dyDescent="0.25">
      <c r="A17" t="s">
        <v>24</v>
      </c>
      <c r="B17">
        <v>4</v>
      </c>
      <c r="C17">
        <v>1147.47</v>
      </c>
      <c r="D17">
        <v>1278.68</v>
      </c>
      <c r="E17">
        <v>134</v>
      </c>
      <c r="F17">
        <v>933.52</v>
      </c>
      <c r="G17">
        <v>398</v>
      </c>
      <c r="H17">
        <v>127</v>
      </c>
      <c r="I17">
        <v>617.70000000000005</v>
      </c>
      <c r="L17" s="1" t="s">
        <v>60</v>
      </c>
      <c r="M17" s="1">
        <v>3</v>
      </c>
      <c r="N17" s="1">
        <v>1191.7</v>
      </c>
      <c r="P17" s="1">
        <f t="shared" si="0"/>
        <v>-44.230000000000018</v>
      </c>
      <c r="Q17" s="1">
        <f t="shared" si="1"/>
        <v>1</v>
      </c>
    </row>
    <row r="18" spans="1:17" x14ac:dyDescent="0.25">
      <c r="A18" t="s">
        <v>25</v>
      </c>
      <c r="B18">
        <v>4</v>
      </c>
      <c r="C18">
        <v>910.76</v>
      </c>
      <c r="D18">
        <v>1756.06</v>
      </c>
      <c r="E18">
        <v>225</v>
      </c>
      <c r="F18">
        <v>997.1</v>
      </c>
      <c r="G18">
        <v>400</v>
      </c>
      <c r="H18">
        <v>90</v>
      </c>
      <c r="I18">
        <v>621.29999999999995</v>
      </c>
      <c r="L18" s="1" t="s">
        <v>61</v>
      </c>
      <c r="M18" s="1">
        <v>3</v>
      </c>
      <c r="N18" s="1">
        <v>939.5</v>
      </c>
      <c r="P18" s="1">
        <f t="shared" si="0"/>
        <v>-28.740000000000009</v>
      </c>
      <c r="Q18" s="1">
        <f t="shared" si="1"/>
        <v>1</v>
      </c>
    </row>
    <row r="19" spans="1:17" x14ac:dyDescent="0.25">
      <c r="A19" t="s">
        <v>26</v>
      </c>
      <c r="B19">
        <v>3</v>
      </c>
      <c r="C19">
        <v>774.85</v>
      </c>
      <c r="D19">
        <v>820.62</v>
      </c>
      <c r="E19">
        <v>25</v>
      </c>
      <c r="F19">
        <v>972.96</v>
      </c>
      <c r="G19">
        <v>398</v>
      </c>
      <c r="H19">
        <v>80</v>
      </c>
      <c r="I19">
        <v>617.79999999999995</v>
      </c>
      <c r="L19" s="1" t="s">
        <v>62</v>
      </c>
      <c r="M19" s="1">
        <v>2</v>
      </c>
      <c r="N19" s="1">
        <v>825.52</v>
      </c>
      <c r="P19" s="1">
        <f t="shared" si="0"/>
        <v>-50.669999999999959</v>
      </c>
      <c r="Q19" s="1">
        <f t="shared" si="1"/>
        <v>1</v>
      </c>
    </row>
    <row r="20" spans="1:17" x14ac:dyDescent="0.25">
      <c r="A20" t="s">
        <v>27</v>
      </c>
      <c r="B20">
        <v>4</v>
      </c>
      <c r="C20">
        <v>998.23</v>
      </c>
      <c r="D20">
        <v>1258.06</v>
      </c>
      <c r="E20">
        <v>205</v>
      </c>
      <c r="F20">
        <v>844.01</v>
      </c>
      <c r="G20">
        <v>396</v>
      </c>
      <c r="H20">
        <v>106</v>
      </c>
      <c r="I20">
        <v>618.6</v>
      </c>
      <c r="L20" s="1" t="s">
        <v>63</v>
      </c>
      <c r="M20" s="1">
        <v>3</v>
      </c>
      <c r="N20" s="1">
        <v>994.43</v>
      </c>
      <c r="P20" s="1">
        <f t="shared" si="0"/>
        <v>3.8000000000000682</v>
      </c>
      <c r="Q20" s="1">
        <f t="shared" si="1"/>
        <v>1</v>
      </c>
    </row>
    <row r="21" spans="1:17" x14ac:dyDescent="0.25">
      <c r="A21" t="s">
        <v>28</v>
      </c>
      <c r="B21">
        <v>4</v>
      </c>
      <c r="C21">
        <v>950.96</v>
      </c>
      <c r="D21">
        <v>1185.4100000000001</v>
      </c>
      <c r="E21">
        <v>148</v>
      </c>
      <c r="F21">
        <v>896.76</v>
      </c>
      <c r="G21">
        <v>400</v>
      </c>
      <c r="H21">
        <v>86</v>
      </c>
      <c r="I21">
        <v>620.9</v>
      </c>
      <c r="L21" s="1" t="s">
        <v>64</v>
      </c>
      <c r="M21" s="1">
        <v>3</v>
      </c>
      <c r="N21" s="1">
        <v>906.14</v>
      </c>
      <c r="P21" s="1">
        <f t="shared" si="0"/>
        <v>44.82000000000005</v>
      </c>
      <c r="Q21" s="1">
        <f t="shared" si="1"/>
        <v>1</v>
      </c>
    </row>
    <row r="22" spans="1:17" x14ac:dyDescent="0.25">
      <c r="A22" t="s">
        <v>29</v>
      </c>
      <c r="B22">
        <v>4</v>
      </c>
      <c r="C22">
        <v>851.89</v>
      </c>
      <c r="D22">
        <v>1212.53</v>
      </c>
      <c r="E22">
        <v>110</v>
      </c>
      <c r="F22">
        <v>862.55</v>
      </c>
      <c r="G22">
        <v>399</v>
      </c>
      <c r="H22">
        <v>95</v>
      </c>
      <c r="I22">
        <v>619.29999999999995</v>
      </c>
      <c r="L22" s="1" t="s">
        <v>65</v>
      </c>
      <c r="M22" s="1">
        <v>2</v>
      </c>
      <c r="N22" s="1">
        <v>890.61</v>
      </c>
      <c r="P22" s="1">
        <f t="shared" si="0"/>
        <v>-38.720000000000027</v>
      </c>
      <c r="Q22" s="1">
        <f t="shared" si="1"/>
        <v>2</v>
      </c>
    </row>
    <row r="23" spans="1:17" x14ac:dyDescent="0.25">
      <c r="A23" t="s">
        <v>30</v>
      </c>
      <c r="B23">
        <v>3</v>
      </c>
      <c r="C23">
        <v>737.56</v>
      </c>
      <c r="D23">
        <v>535.78</v>
      </c>
      <c r="E23">
        <v>310</v>
      </c>
      <c r="F23">
        <v>933.88</v>
      </c>
      <c r="G23">
        <v>400</v>
      </c>
      <c r="H23">
        <v>80</v>
      </c>
      <c r="I23">
        <v>620.20000000000005</v>
      </c>
      <c r="L23" s="1" t="s">
        <v>66</v>
      </c>
      <c r="M23" s="1">
        <v>2</v>
      </c>
      <c r="N23" s="1">
        <v>726.82</v>
      </c>
      <c r="P23" s="1">
        <f t="shared" si="0"/>
        <v>10.739999999999895</v>
      </c>
      <c r="Q23" s="1">
        <f t="shared" si="1"/>
        <v>1</v>
      </c>
    </row>
    <row r="24" spans="1:17" x14ac:dyDescent="0.25">
      <c r="A24" t="s">
        <v>31</v>
      </c>
      <c r="B24">
        <v>4</v>
      </c>
      <c r="C24">
        <v>904.34</v>
      </c>
      <c r="D24">
        <v>1172.68</v>
      </c>
      <c r="E24">
        <v>99</v>
      </c>
      <c r="F24">
        <v>839.54</v>
      </c>
      <c r="G24">
        <v>400</v>
      </c>
      <c r="H24">
        <v>112</v>
      </c>
      <c r="I24">
        <v>619.79999999999995</v>
      </c>
      <c r="L24" s="1" t="s">
        <v>67</v>
      </c>
      <c r="M24" s="1">
        <v>3</v>
      </c>
      <c r="N24" s="1">
        <v>909.16</v>
      </c>
      <c r="P24" s="1">
        <f t="shared" si="0"/>
        <v>-4.8199999999999363</v>
      </c>
      <c r="Q24" s="1">
        <f t="shared" si="1"/>
        <v>1</v>
      </c>
    </row>
    <row r="25" spans="1:17" x14ac:dyDescent="0.25">
      <c r="A25" t="s">
        <v>32</v>
      </c>
      <c r="B25">
        <v>4</v>
      </c>
      <c r="C25">
        <v>964.67</v>
      </c>
      <c r="D25">
        <v>1220.21</v>
      </c>
      <c r="E25">
        <v>286</v>
      </c>
      <c r="F25">
        <v>931.56</v>
      </c>
      <c r="G25">
        <v>366</v>
      </c>
      <c r="H25">
        <v>110</v>
      </c>
      <c r="I25">
        <v>618.29999999999995</v>
      </c>
      <c r="L25" s="1" t="s">
        <v>68</v>
      </c>
      <c r="M25" s="1">
        <v>3</v>
      </c>
      <c r="N25" s="1">
        <v>939.37</v>
      </c>
      <c r="P25" s="1">
        <f t="shared" si="0"/>
        <v>25.299999999999955</v>
      </c>
      <c r="Q25" s="1">
        <f t="shared" si="1"/>
        <v>1</v>
      </c>
    </row>
    <row r="26" spans="1:17" x14ac:dyDescent="0.25">
      <c r="A26" t="s">
        <v>33</v>
      </c>
      <c r="B26">
        <v>4</v>
      </c>
      <c r="C26">
        <v>773.45</v>
      </c>
      <c r="D26">
        <v>926.69</v>
      </c>
      <c r="E26">
        <v>122</v>
      </c>
      <c r="F26">
        <v>752.12</v>
      </c>
      <c r="G26">
        <v>398</v>
      </c>
      <c r="H26">
        <v>83</v>
      </c>
      <c r="I26">
        <v>620.1</v>
      </c>
      <c r="L26" s="1" t="s">
        <v>69</v>
      </c>
      <c r="M26" s="1">
        <v>2</v>
      </c>
      <c r="N26" s="1">
        <v>885.71</v>
      </c>
      <c r="P26" s="1">
        <f t="shared" si="0"/>
        <v>-112.25999999999999</v>
      </c>
      <c r="Q26" s="1">
        <f t="shared" si="1"/>
        <v>2</v>
      </c>
    </row>
    <row r="27" spans="1:17" x14ac:dyDescent="0.25">
      <c r="A27" t="s">
        <v>34</v>
      </c>
      <c r="B27">
        <v>16</v>
      </c>
      <c r="C27">
        <v>1669.25</v>
      </c>
      <c r="D27">
        <v>444.3</v>
      </c>
      <c r="E27">
        <v>159</v>
      </c>
      <c r="F27">
        <v>234.04</v>
      </c>
      <c r="G27">
        <v>384</v>
      </c>
      <c r="H27">
        <v>204</v>
      </c>
      <c r="I27">
        <v>612</v>
      </c>
      <c r="L27" s="1" t="s">
        <v>70</v>
      </c>
      <c r="M27" s="1">
        <v>14</v>
      </c>
      <c r="N27" s="1">
        <v>1696.95</v>
      </c>
      <c r="P27" s="1">
        <f t="shared" si="0"/>
        <v>-27.700000000000045</v>
      </c>
      <c r="Q27" s="1">
        <f t="shared" si="1"/>
        <v>2</v>
      </c>
    </row>
    <row r="28" spans="1:17" x14ac:dyDescent="0.25">
      <c r="A28" t="s">
        <v>35</v>
      </c>
      <c r="B28">
        <v>15</v>
      </c>
      <c r="C28">
        <v>1493.11</v>
      </c>
      <c r="D28">
        <v>611.77</v>
      </c>
      <c r="E28">
        <v>194</v>
      </c>
      <c r="F28">
        <v>237.45</v>
      </c>
      <c r="G28">
        <v>399</v>
      </c>
      <c r="H28">
        <v>257</v>
      </c>
      <c r="I28">
        <v>611.29999999999995</v>
      </c>
      <c r="L28" s="1" t="s">
        <v>71</v>
      </c>
      <c r="M28" s="1">
        <v>12</v>
      </c>
      <c r="N28" s="1">
        <v>1554.75</v>
      </c>
      <c r="P28" s="1">
        <f t="shared" si="0"/>
        <v>-61.6400000000001</v>
      </c>
      <c r="Q28" s="1">
        <f t="shared" si="1"/>
        <v>3</v>
      </c>
    </row>
    <row r="29" spans="1:17" x14ac:dyDescent="0.25">
      <c r="A29" t="s">
        <v>36</v>
      </c>
      <c r="B29">
        <v>12</v>
      </c>
      <c r="C29">
        <v>1342.49</v>
      </c>
      <c r="D29">
        <v>265.47000000000003</v>
      </c>
      <c r="E29">
        <v>128</v>
      </c>
      <c r="F29">
        <v>238.93</v>
      </c>
      <c r="G29">
        <v>392</v>
      </c>
      <c r="H29">
        <v>196</v>
      </c>
      <c r="I29">
        <v>612.1</v>
      </c>
      <c r="L29" s="1" t="s">
        <v>72</v>
      </c>
      <c r="M29" s="1">
        <v>11</v>
      </c>
      <c r="N29" s="1">
        <v>1261.67</v>
      </c>
      <c r="P29" s="1">
        <f t="shared" si="0"/>
        <v>80.819999999999936</v>
      </c>
      <c r="Q29" s="1">
        <f t="shared" si="1"/>
        <v>1</v>
      </c>
    </row>
    <row r="30" spans="1:17" x14ac:dyDescent="0.25">
      <c r="A30" t="s">
        <v>37</v>
      </c>
      <c r="B30">
        <v>11</v>
      </c>
      <c r="C30">
        <v>1151.1500000000001</v>
      </c>
      <c r="D30">
        <v>176.14</v>
      </c>
      <c r="E30">
        <v>159</v>
      </c>
      <c r="F30">
        <v>237.6</v>
      </c>
      <c r="G30">
        <v>384</v>
      </c>
      <c r="H30">
        <v>133</v>
      </c>
      <c r="I30">
        <v>611.79999999999995</v>
      </c>
      <c r="L30" s="1" t="s">
        <v>73</v>
      </c>
      <c r="M30" s="1">
        <v>10</v>
      </c>
      <c r="N30" s="1">
        <v>1135.48</v>
      </c>
      <c r="P30" s="1">
        <f t="shared" si="0"/>
        <v>15.670000000000073</v>
      </c>
      <c r="Q30" s="1">
        <f t="shared" si="1"/>
        <v>1</v>
      </c>
    </row>
    <row r="31" spans="1:17" x14ac:dyDescent="0.25">
      <c r="A31" t="s">
        <v>38</v>
      </c>
      <c r="B31">
        <v>16</v>
      </c>
      <c r="C31">
        <v>1581.19</v>
      </c>
      <c r="D31">
        <v>613.70000000000005</v>
      </c>
      <c r="E31">
        <v>168</v>
      </c>
      <c r="F31">
        <v>237.9</v>
      </c>
      <c r="G31">
        <v>400</v>
      </c>
      <c r="H31">
        <v>207</v>
      </c>
      <c r="I31">
        <v>615.70000000000005</v>
      </c>
      <c r="L31" s="1" t="s">
        <v>74</v>
      </c>
      <c r="M31" s="1">
        <v>13</v>
      </c>
      <c r="N31" s="1">
        <v>1629.44</v>
      </c>
      <c r="P31" s="1">
        <f t="shared" si="0"/>
        <v>-48.25</v>
      </c>
      <c r="Q31" s="1">
        <f t="shared" si="1"/>
        <v>3</v>
      </c>
    </row>
    <row r="32" spans="1:17" x14ac:dyDescent="0.25">
      <c r="A32" t="s">
        <v>39</v>
      </c>
      <c r="B32">
        <v>14</v>
      </c>
      <c r="C32">
        <v>1429.21</v>
      </c>
      <c r="D32">
        <v>371.88</v>
      </c>
      <c r="E32">
        <v>153</v>
      </c>
      <c r="F32">
        <v>236.74</v>
      </c>
      <c r="G32">
        <v>400</v>
      </c>
      <c r="H32">
        <v>178</v>
      </c>
      <c r="I32">
        <v>610.79999999999995</v>
      </c>
      <c r="L32" s="1" t="s">
        <v>75</v>
      </c>
      <c r="M32" s="1">
        <v>11</v>
      </c>
      <c r="N32" s="1">
        <v>1424.73</v>
      </c>
      <c r="P32" s="1">
        <f t="shared" si="0"/>
        <v>4.4800000000000182</v>
      </c>
      <c r="Q32" s="1">
        <f t="shared" si="1"/>
        <v>3</v>
      </c>
    </row>
    <row r="33" spans="1:17" x14ac:dyDescent="0.25">
      <c r="A33" t="s">
        <v>40</v>
      </c>
      <c r="B33">
        <v>12</v>
      </c>
      <c r="C33">
        <v>1269.0999999999999</v>
      </c>
      <c r="D33">
        <v>215.09</v>
      </c>
      <c r="E33">
        <v>113</v>
      </c>
      <c r="F33">
        <v>229.91</v>
      </c>
      <c r="G33">
        <v>356</v>
      </c>
      <c r="H33">
        <v>200</v>
      </c>
      <c r="I33">
        <v>614.1</v>
      </c>
      <c r="L33" s="1" t="s">
        <v>76</v>
      </c>
      <c r="M33" s="1">
        <v>11</v>
      </c>
      <c r="N33" s="1">
        <v>1230.48</v>
      </c>
      <c r="P33" s="1">
        <f t="shared" si="0"/>
        <v>38.619999999999891</v>
      </c>
      <c r="Q33" s="1">
        <f t="shared" si="1"/>
        <v>1</v>
      </c>
    </row>
    <row r="34" spans="1:17" x14ac:dyDescent="0.25">
      <c r="A34" t="s">
        <v>41</v>
      </c>
      <c r="B34">
        <v>11</v>
      </c>
      <c r="C34">
        <v>1158.8499999999999</v>
      </c>
      <c r="D34">
        <v>174.78</v>
      </c>
      <c r="E34">
        <v>115</v>
      </c>
      <c r="F34">
        <v>236.32</v>
      </c>
      <c r="G34">
        <v>385</v>
      </c>
      <c r="H34">
        <v>186</v>
      </c>
      <c r="I34">
        <v>612.70000000000005</v>
      </c>
      <c r="L34" s="1" t="s">
        <v>77</v>
      </c>
      <c r="M34" s="1">
        <v>10</v>
      </c>
      <c r="N34" s="1">
        <v>1139.82</v>
      </c>
      <c r="P34" s="1">
        <f t="shared" si="0"/>
        <v>19.029999999999973</v>
      </c>
      <c r="Q34" s="1">
        <f t="shared" si="1"/>
        <v>1</v>
      </c>
    </row>
    <row r="35" spans="1:17" x14ac:dyDescent="0.25">
      <c r="A35" t="s">
        <v>42</v>
      </c>
      <c r="B35">
        <v>6</v>
      </c>
      <c r="C35">
        <v>1338.49</v>
      </c>
      <c r="D35">
        <v>2572.4699999999998</v>
      </c>
      <c r="E35">
        <v>163</v>
      </c>
      <c r="F35">
        <v>896.84</v>
      </c>
      <c r="G35">
        <v>400</v>
      </c>
      <c r="H35">
        <v>96</v>
      </c>
      <c r="I35">
        <v>621.1</v>
      </c>
      <c r="L35" s="1" t="s">
        <v>78</v>
      </c>
      <c r="M35" s="1">
        <v>4</v>
      </c>
      <c r="N35" s="1">
        <v>1406.94</v>
      </c>
      <c r="P35" s="1">
        <f t="shared" si="0"/>
        <v>-68.450000000000045</v>
      </c>
      <c r="Q35" s="1">
        <f t="shared" si="1"/>
        <v>2</v>
      </c>
    </row>
    <row r="36" spans="1:17" x14ac:dyDescent="0.25">
      <c r="A36" t="s">
        <v>43</v>
      </c>
      <c r="B36">
        <v>6</v>
      </c>
      <c r="C36">
        <v>1170.9000000000001</v>
      </c>
      <c r="D36">
        <v>2742.6</v>
      </c>
      <c r="E36">
        <v>159</v>
      </c>
      <c r="F36">
        <v>922.82</v>
      </c>
      <c r="G36">
        <v>396</v>
      </c>
      <c r="H36">
        <v>124</v>
      </c>
      <c r="I36">
        <v>617.9</v>
      </c>
      <c r="L36" s="1" t="s">
        <v>79</v>
      </c>
      <c r="M36" s="1">
        <v>3</v>
      </c>
      <c r="N36" s="1">
        <v>1365.65</v>
      </c>
      <c r="P36" s="1">
        <f t="shared" si="0"/>
        <v>-194.75</v>
      </c>
      <c r="Q36" s="1">
        <f t="shared" si="1"/>
        <v>3</v>
      </c>
    </row>
    <row r="37" spans="1:17" x14ac:dyDescent="0.25">
      <c r="A37" t="s">
        <v>44</v>
      </c>
      <c r="B37">
        <v>5</v>
      </c>
      <c r="C37">
        <v>965.67</v>
      </c>
      <c r="D37">
        <v>2327.62</v>
      </c>
      <c r="E37">
        <v>189</v>
      </c>
      <c r="F37">
        <v>900.5</v>
      </c>
      <c r="G37">
        <v>400</v>
      </c>
      <c r="H37">
        <v>124</v>
      </c>
      <c r="I37">
        <v>622.9</v>
      </c>
      <c r="L37" s="1" t="s">
        <v>80</v>
      </c>
      <c r="M37" s="1">
        <v>3</v>
      </c>
      <c r="N37" s="1">
        <v>1049.6199999999999</v>
      </c>
      <c r="P37" s="1">
        <f t="shared" si="0"/>
        <v>-83.949999999999932</v>
      </c>
      <c r="Q37" s="1">
        <f t="shared" si="1"/>
        <v>2</v>
      </c>
    </row>
    <row r="38" spans="1:17" x14ac:dyDescent="0.25">
      <c r="A38" t="s">
        <v>45</v>
      </c>
      <c r="B38">
        <v>4</v>
      </c>
      <c r="C38">
        <v>805.63</v>
      </c>
      <c r="D38">
        <v>1075.58</v>
      </c>
      <c r="E38">
        <v>212</v>
      </c>
      <c r="F38">
        <v>912.89</v>
      </c>
      <c r="G38">
        <v>399</v>
      </c>
      <c r="H38">
        <v>60</v>
      </c>
      <c r="I38">
        <v>624.70000000000005</v>
      </c>
      <c r="L38" s="1" t="s">
        <v>81</v>
      </c>
      <c r="M38" s="1">
        <v>3</v>
      </c>
      <c r="N38" s="1">
        <v>798.46</v>
      </c>
      <c r="P38" s="1">
        <f t="shared" si="0"/>
        <v>7.1699999999999591</v>
      </c>
      <c r="Q38" s="1">
        <f t="shared" si="1"/>
        <v>1</v>
      </c>
    </row>
    <row r="39" spans="1:17" x14ac:dyDescent="0.25">
      <c r="A39" t="s">
        <v>46</v>
      </c>
      <c r="B39">
        <v>6</v>
      </c>
      <c r="C39">
        <v>1271.96</v>
      </c>
      <c r="D39">
        <v>2574.91</v>
      </c>
      <c r="E39">
        <v>191</v>
      </c>
      <c r="F39">
        <v>955.18</v>
      </c>
      <c r="G39">
        <v>399</v>
      </c>
      <c r="H39">
        <v>136</v>
      </c>
      <c r="I39">
        <v>616.79999999999995</v>
      </c>
      <c r="L39" s="1" t="s">
        <v>82</v>
      </c>
      <c r="M39" s="1">
        <v>4</v>
      </c>
      <c r="N39" s="1">
        <v>1297.6500000000001</v>
      </c>
      <c r="P39" s="1">
        <f t="shared" si="0"/>
        <v>-25.690000000000055</v>
      </c>
      <c r="Q39" s="1">
        <f t="shared" si="1"/>
        <v>2</v>
      </c>
    </row>
    <row r="40" spans="1:17" x14ac:dyDescent="0.25">
      <c r="L40" s="1" t="s">
        <v>83</v>
      </c>
      <c r="M40" s="1">
        <v>3</v>
      </c>
      <c r="N40" s="1">
        <v>1146.32</v>
      </c>
    </row>
    <row r="41" spans="1:17" x14ac:dyDescent="0.25">
      <c r="L41" s="1" t="s">
        <v>84</v>
      </c>
      <c r="M41" s="1">
        <v>3</v>
      </c>
      <c r="N41" s="1">
        <v>1061.1400000000001</v>
      </c>
    </row>
    <row r="42" spans="1:17" x14ac:dyDescent="0.25">
      <c r="L42" s="1" t="s">
        <v>85</v>
      </c>
      <c r="M42" s="1">
        <v>3</v>
      </c>
      <c r="N42" s="1">
        <v>828.14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hieu</cp:lastModifiedBy>
  <dcterms:created xsi:type="dcterms:W3CDTF">2026-03-13T01:06:27Z</dcterms:created>
  <dcterms:modified xsi:type="dcterms:W3CDTF">2026-03-13T01:41:53Z</dcterms:modified>
</cp:coreProperties>
</file>